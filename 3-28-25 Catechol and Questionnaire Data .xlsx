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aregawili_nih_gov/Documents/Desktop/"/>
    </mc:Choice>
  </mc:AlternateContent>
  <xr:revisionPtr revIDLastSave="64" documentId="13_ncr:1_{75BC1931-AE82-49C6-AA9C-D000A9D7ACB4}" xr6:coauthVersionLast="47" xr6:coauthVersionMax="47" xr10:uidLastSave="{F2859D75-8A91-9B4F-B4B1-2E5E05399CA0}"/>
  <bookViews>
    <workbookView xWindow="39300" yWindow="940" windowWidth="27900" windowHeight="18340" xr2:uid="{24C1B39F-517B-4D7D-9DD6-878D6E83B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AI81" i="1"/>
  <c r="AI84" i="1"/>
  <c r="AI88" i="1"/>
  <c r="AI85" i="1"/>
  <c r="AI82" i="1"/>
  <c r="AI87" i="1"/>
  <c r="AI91" i="1"/>
  <c r="AI79" i="1"/>
  <c r="AI83" i="1"/>
  <c r="AI77" i="1"/>
  <c r="AI76" i="1"/>
  <c r="AI80" i="1"/>
  <c r="AI89" i="1"/>
  <c r="AI78" i="1"/>
  <c r="AI90" i="1"/>
  <c r="AI86" i="1"/>
  <c r="AI61" i="1"/>
  <c r="AI59" i="1"/>
  <c r="AI58" i="1"/>
  <c r="AI73" i="1"/>
  <c r="AI66" i="1"/>
  <c r="AI72" i="1"/>
  <c r="AI70" i="1"/>
  <c r="AI74" i="1"/>
  <c r="AI63" i="1"/>
  <c r="AI69" i="1"/>
  <c r="AI65" i="1"/>
  <c r="AI68" i="1"/>
  <c r="AI60" i="1"/>
  <c r="AI75" i="1"/>
  <c r="AI57" i="1"/>
  <c r="AI64" i="1"/>
  <c r="AI67" i="1"/>
  <c r="AI71" i="1"/>
  <c r="AI62" i="1"/>
</calcChain>
</file>

<file path=xl/sharedStrings.xml><?xml version="1.0" encoding="utf-8"?>
<sst xmlns="http://schemas.openxmlformats.org/spreadsheetml/2006/main" count="454" uniqueCount="205">
  <si>
    <t>SubjectID</t>
  </si>
  <si>
    <t>Group</t>
  </si>
  <si>
    <t>Protocol</t>
  </si>
  <si>
    <t>LP</t>
  </si>
  <si>
    <t>CSF_DHPG</t>
  </si>
  <si>
    <t>CSF_NE</t>
  </si>
  <si>
    <t>CSF_MHPG</t>
  </si>
  <si>
    <t>CSF_MHPG_DHPG</t>
  </si>
  <si>
    <t>CSF_DOPA</t>
  </si>
  <si>
    <t>CSF_Cys_DOPA</t>
  </si>
  <si>
    <t>CSF_DA</t>
  </si>
  <si>
    <t>CSF_DOPAC</t>
  </si>
  <si>
    <t>CSF_Cys_DA</t>
  </si>
  <si>
    <t>CSF_HVA</t>
  </si>
  <si>
    <t>PEM</t>
  </si>
  <si>
    <t>Age</t>
  </si>
  <si>
    <t>Sex</t>
  </si>
  <si>
    <t>Race</t>
  </si>
  <si>
    <t>BMI</t>
  </si>
  <si>
    <t>Fukuda</t>
  </si>
  <si>
    <t>Canadian</t>
  </si>
  <si>
    <t>IOM</t>
  </si>
  <si>
    <t>MASQ_L_SCORE</t>
  </si>
  <si>
    <t>MASQ_VP_SCORE</t>
  </si>
  <si>
    <t>MASQ_VM_SCORE</t>
  </si>
  <si>
    <t>MASQ_SM_SCORE</t>
  </si>
  <si>
    <t>MASQ_AC_SCORE</t>
  </si>
  <si>
    <t>MASQ_TOTAL_SCORE</t>
  </si>
  <si>
    <t>MFI_GENERAL_FATIGUE_SCALE</t>
  </si>
  <si>
    <t>MFI_PHYSICAL_FATIGUE_SCALE</t>
  </si>
  <si>
    <t>MFI_REDUCED_ACTIVITY_SCALE</t>
  </si>
  <si>
    <t>MFI_REDUCED_MOTIVATION_SCALE</t>
  </si>
  <si>
    <t>MFI_MENTAL_FATIGUE_SCALE</t>
  </si>
  <si>
    <t>MFI_Total_Score</t>
  </si>
  <si>
    <t>NPS_Score</t>
  </si>
  <si>
    <t>NPS_PAIN_UNPLEASANT_OVERALL</t>
  </si>
  <si>
    <t>PROMIS_PAIN_INT_SHRT_FORM_TSCORE</t>
  </si>
  <si>
    <t>PROMIS_PAIN_INTEFERENCE_TSCORE</t>
  </si>
  <si>
    <t>PROMIS_FATIGUE_TSCORE</t>
  </si>
  <si>
    <t>PROMIS_PAIN_BEHAVIOR_SHORT_TSCORE</t>
  </si>
  <si>
    <t>PROMIS_SLP_REL_IMP_TSCORE</t>
  </si>
  <si>
    <t>PROMIS_SLEEP_DIST_TSCORE</t>
  </si>
  <si>
    <t>PROMIS_ANX_TScore</t>
  </si>
  <si>
    <t>PROMIS_DEP_Tscore</t>
  </si>
  <si>
    <t>PROMIS_PhysHlth_T_scr</t>
  </si>
  <si>
    <t>PROMIS_MntlHlth_T_scr</t>
  </si>
  <si>
    <t>McGill_Score</t>
  </si>
  <si>
    <t>PDS_WPI</t>
  </si>
  <si>
    <t>PDS_SSS</t>
  </si>
  <si>
    <t>PDS_Total_SCORE</t>
  </si>
  <si>
    <t>Physical_Functioning</t>
  </si>
  <si>
    <t>Role_Physical</t>
  </si>
  <si>
    <t>Bodily_Pain</t>
  </si>
  <si>
    <t>General_Health</t>
  </si>
  <si>
    <t>Vitality</t>
  </si>
  <si>
    <t>Social_Functioning</t>
  </si>
  <si>
    <t>Role_Emotional</t>
  </si>
  <si>
    <t>Mental_Health_SF</t>
  </si>
  <si>
    <t>Mental_Component</t>
  </si>
  <si>
    <t>Physical_Component</t>
  </si>
  <si>
    <t>FCS_Score</t>
  </si>
  <si>
    <t>PHQ_15_Stomach</t>
  </si>
  <si>
    <t>PHQ_15_Back</t>
  </si>
  <si>
    <t>PHQ_15_Joint</t>
  </si>
  <si>
    <t>PHQ_15_Menstrual</t>
  </si>
  <si>
    <t>PHQ_15_Headache</t>
  </si>
  <si>
    <t>PHQ_15_Chest</t>
  </si>
  <si>
    <t>PHQ_15_DizzinessRt</t>
  </si>
  <si>
    <t>PHQ_15_FaintingSpell</t>
  </si>
  <si>
    <t>PHQ_15_FeelingHeartPoundRace</t>
  </si>
  <si>
    <t>PHQ_15_SOB</t>
  </si>
  <si>
    <t>PHQ_15_Sex_Dysf</t>
  </si>
  <si>
    <t>PHQ_15_Constip</t>
  </si>
  <si>
    <t>PHQ_Nausea</t>
  </si>
  <si>
    <t>PHQ_15_Tired</t>
  </si>
  <si>
    <t>PHQ_15_TroubleSleep</t>
  </si>
  <si>
    <t>PHQ_15_TOTAL_SCORE</t>
  </si>
  <si>
    <t>PSQI_Score</t>
  </si>
  <si>
    <t>COWAT_FAS_T_SCORE</t>
  </si>
  <si>
    <t>COWAT_ANIMAL_T_SCORE</t>
  </si>
  <si>
    <t>BVMTR_RECALL_TOT_SCHRETLIN_T_SCORE</t>
  </si>
  <si>
    <t>BVMTR_DELAY_SCHRETLIN_T_SCORE</t>
  </si>
  <si>
    <t>HVLTR_TOT_SCHRETLIN_T_SCORE</t>
  </si>
  <si>
    <t>HVLTR_DELAY_SCHRETLIN_T_SCORE</t>
  </si>
  <si>
    <t>Eefrt_Prop_Hard</t>
  </si>
  <si>
    <t>HAND_GRIP_RT_1</t>
  </si>
  <si>
    <t>HAND_GRIP_RT_2</t>
  </si>
  <si>
    <t>HAND_GRIP_LT_1</t>
  </si>
  <si>
    <t>HAND_GRIP_LT_2</t>
  </si>
  <si>
    <t>HAND_GRIP_RT_3_TIME_HELD</t>
  </si>
  <si>
    <t>HAND_GRIP_LT_3_TIME_HELD</t>
  </si>
  <si>
    <t>map000296-00-02</t>
  </si>
  <si>
    <t>16N0058</t>
  </si>
  <si>
    <t>White</t>
  </si>
  <si>
    <t xml:space="preserve">
map000275-00-02</t>
  </si>
  <si>
    <t>map000276-00-02</t>
  </si>
  <si>
    <t>Multiracial</t>
  </si>
  <si>
    <t>map000288-00-02</t>
  </si>
  <si>
    <t>map000287-00-02</t>
  </si>
  <si>
    <t>map000280-00-02</t>
  </si>
  <si>
    <t>.</t>
  </si>
  <si>
    <t>map000277-00-02</t>
  </si>
  <si>
    <t>map000309-00-02</t>
  </si>
  <si>
    <t>map000282-00-02</t>
  </si>
  <si>
    <t>map000292-00-02</t>
  </si>
  <si>
    <t>map000311-00-02</t>
  </si>
  <si>
    <t>map000302-00-02</t>
  </si>
  <si>
    <t>map000306-00-02</t>
  </si>
  <si>
    <t>map000304-00-02</t>
  </si>
  <si>
    <t>map000274-00-02</t>
  </si>
  <si>
    <t>map000308-00-02</t>
  </si>
  <si>
    <t>map000279-00-02</t>
  </si>
  <si>
    <t>map000301-00-02</t>
  </si>
  <si>
    <t>map000293-00-02</t>
  </si>
  <si>
    <t>map000291-01-02</t>
  </si>
  <si>
    <t>map000297-01-02</t>
  </si>
  <si>
    <t>Asian</t>
  </si>
  <si>
    <t>map000285-01-02</t>
  </si>
  <si>
    <t>map000295-01-02</t>
  </si>
  <si>
    <t>map000310-01-02</t>
  </si>
  <si>
    <t>map000303-01-02</t>
  </si>
  <si>
    <t>map000305-01-02</t>
  </si>
  <si>
    <t>map000294-01-02</t>
  </si>
  <si>
    <t>map000300-01-02</t>
  </si>
  <si>
    <t>map000298-01-02</t>
  </si>
  <si>
    <t>map000281-01-02</t>
  </si>
  <si>
    <t>map000307-01-02</t>
  </si>
  <si>
    <t>map000283-01-02</t>
  </si>
  <si>
    <t>map000284-01-02</t>
  </si>
  <si>
    <t>map000289-01-02</t>
  </si>
  <si>
    <t>map000278-01-02</t>
  </si>
  <si>
    <t>000089N</t>
  </si>
  <si>
    <t>Black</t>
  </si>
  <si>
    <t>indt.</t>
  </si>
  <si>
    <t>^</t>
  </si>
  <si>
    <t>000094N</t>
  </si>
  <si>
    <t>03869</t>
  </si>
  <si>
    <t>03864</t>
  </si>
  <si>
    <t>03862</t>
  </si>
  <si>
    <t>03868</t>
  </si>
  <si>
    <t>03866</t>
  </si>
  <si>
    <t>03861</t>
  </si>
  <si>
    <t>03867</t>
  </si>
  <si>
    <t>03859</t>
  </si>
  <si>
    <t>03852</t>
  </si>
  <si>
    <t>03853</t>
  </si>
  <si>
    <t>CNCS 01371</t>
  </si>
  <si>
    <t>03N0004</t>
  </si>
  <si>
    <t>CNCS 02691</t>
  </si>
  <si>
    <t>CNCS 01512</t>
  </si>
  <si>
    <t>CNCS 01581</t>
  </si>
  <si>
    <t>CNCS 01505</t>
  </si>
  <si>
    <t>CNCS 02243</t>
  </si>
  <si>
    <t>CNCS 01549</t>
  </si>
  <si>
    <t>CNCS 02840</t>
  </si>
  <si>
    <t>CNCS 03723</t>
  </si>
  <si>
    <t>17N0076</t>
  </si>
  <si>
    <t>CNCS 01530</t>
  </si>
  <si>
    <t>CNCS 03583</t>
  </si>
  <si>
    <t>CNCS 03609</t>
  </si>
  <si>
    <t>09N0010</t>
  </si>
  <si>
    <t>CNCS 01322</t>
  </si>
  <si>
    <t>94N0186</t>
  </si>
  <si>
    <t>CNCS 03199</t>
  </si>
  <si>
    <t>CNCS 02239</t>
  </si>
  <si>
    <t>000051N</t>
  </si>
  <si>
    <t/>
  </si>
  <si>
    <t>CNCS 00180</t>
  </si>
  <si>
    <t>CNCS 00396</t>
  </si>
  <si>
    <t>CNCS 01467</t>
  </si>
  <si>
    <t>CNCS 01606</t>
  </si>
  <si>
    <t>CNCS 01686</t>
  </si>
  <si>
    <t>CNCS 01707</t>
  </si>
  <si>
    <t>CNCS 02013</t>
  </si>
  <si>
    <t>CNCS 02022</t>
  </si>
  <si>
    <t>CNCS 02251</t>
  </si>
  <si>
    <t>CNCS 02140</t>
  </si>
  <si>
    <t>CNCS 02483</t>
  </si>
  <si>
    <t>CNCS 02664</t>
  </si>
  <si>
    <t>CNCS 02963</t>
  </si>
  <si>
    <t>CNCS 03123</t>
  </si>
  <si>
    <t>CNCS 03194</t>
  </si>
  <si>
    <t>CNCS 03205</t>
  </si>
  <si>
    <t>CNCS 03184</t>
  </si>
  <si>
    <t>CNCS 03334</t>
  </si>
  <si>
    <t>CNCS 03309</t>
  </si>
  <si>
    <t>CNCS 03175</t>
  </si>
  <si>
    <t>CNCS 03502</t>
  </si>
  <si>
    <t>CNCS 03506</t>
  </si>
  <si>
    <t>CNCS 03511</t>
  </si>
  <si>
    <t>CNCS 03569</t>
  </si>
  <si>
    <t>CNCS 03692</t>
  </si>
  <si>
    <t>CNCS 03213</t>
  </si>
  <si>
    <t>CNCS 03681</t>
  </si>
  <si>
    <t>CNCS 03741</t>
  </si>
  <si>
    <t>CNCS 03762</t>
  </si>
  <si>
    <t>CNCS 03819</t>
  </si>
  <si>
    <t>CNCS 03821</t>
  </si>
  <si>
    <t>CNCS 03698</t>
  </si>
  <si>
    <t>18N0140</t>
  </si>
  <si>
    <t>03870</t>
  </si>
  <si>
    <t>03865</t>
  </si>
  <si>
    <t>Elapsed_Infection</t>
  </si>
  <si>
    <t>OH_Lie_Stand</t>
  </si>
  <si>
    <t>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</si>
</sst>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Geneva"/>
      <family val="2"/>
    </font>
    <font>
      <b/>
      <sz val="10"/>
      <color theme="1"/>
      <name val="Geneva"/>
      <family val="2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/>
    <xf numFmtId="165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2CC992-7296-40C4-8640-56539C68D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C01D-1B59-4819-A7B5-F94D33F081FD}">
  <dimension ref="A1:DI227"/>
  <sheetViews>
    <sheetView tabSelected="1" zoomScale="75" zoomScaleNormal="90"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17.83203125" style="2" customWidth="1"/>
    <col min="2" max="3" width="8.83203125" style="2"/>
    <col min="4" max="4" width="3" style="2" bestFit="1" customWidth="1"/>
    <col min="5" max="7" width="12.1640625" style="2" bestFit="1" customWidth="1"/>
    <col min="8" max="8" width="16.1640625" style="2" bestFit="1" customWidth="1"/>
    <col min="9" max="9" width="12.1640625" style="2" bestFit="1" customWidth="1"/>
    <col min="10" max="10" width="14.1640625" style="2" bestFit="1" customWidth="1"/>
    <col min="11" max="14" width="12.1640625" style="2" bestFit="1" customWidth="1"/>
    <col min="15" max="15" width="4.5" style="2" bestFit="1" customWidth="1"/>
    <col min="16" max="16" width="8.83203125" style="2"/>
    <col min="17" max="17" width="8.83203125" style="2" customWidth="1"/>
    <col min="18" max="18" width="8.83203125" style="2"/>
    <col min="19" max="19" width="6" style="2" bestFit="1" customWidth="1"/>
    <col min="21" max="21" width="6.83203125" style="2" bestFit="1" customWidth="1"/>
    <col min="22" max="22" width="8.83203125" style="2" bestFit="1" customWidth="1"/>
    <col min="23" max="23" width="4.1640625" style="2" bestFit="1" customWidth="1"/>
    <col min="24" max="24" width="14.1640625" bestFit="1" customWidth="1"/>
    <col min="25" max="25" width="15.5" bestFit="1" customWidth="1"/>
    <col min="26" max="27" width="15.83203125" bestFit="1" customWidth="1"/>
    <col min="28" max="28" width="15.6640625" bestFit="1" customWidth="1"/>
    <col min="29" max="29" width="18.5" bestFit="1" customWidth="1"/>
    <col min="30" max="30" width="26.83203125" bestFit="1" customWidth="1"/>
    <col min="31" max="31" width="27.1640625" bestFit="1" customWidth="1"/>
    <col min="32" max="32" width="27.5" bestFit="1" customWidth="1"/>
    <col min="33" max="33" width="30.6640625" bestFit="1" customWidth="1"/>
    <col min="34" max="34" width="25.5" bestFit="1" customWidth="1"/>
    <col min="35" max="35" width="14.1640625" bestFit="1" customWidth="1"/>
    <col min="36" max="36" width="9.83203125" bestFit="1" customWidth="1"/>
    <col min="37" max="37" width="29.83203125" bestFit="1" customWidth="1"/>
    <col min="38" max="38" width="34.83203125" bestFit="1" customWidth="1"/>
    <col min="39" max="39" width="32.5" bestFit="1" customWidth="1"/>
    <col min="40" max="40" width="23" bestFit="1" customWidth="1"/>
    <col min="41" max="41" width="36" bestFit="1" customWidth="1"/>
    <col min="42" max="42" width="26.83203125" bestFit="1" customWidth="1"/>
    <col min="43" max="43" width="25.5" bestFit="1" customWidth="1"/>
    <col min="44" max="44" width="18.1640625" bestFit="1" customWidth="1"/>
    <col min="45" max="45" width="18" bestFit="1" customWidth="1"/>
    <col min="46" max="46" width="20.5" bestFit="1" customWidth="1"/>
    <col min="47" max="47" width="20.33203125" bestFit="1" customWidth="1"/>
    <col min="48" max="48" width="11.5" bestFit="1" customWidth="1"/>
    <col min="49" max="49" width="8.33203125" bestFit="1" customWidth="1"/>
    <col min="50" max="50" width="8.1640625" bestFit="1" customWidth="1"/>
    <col min="51" max="51" width="15.83203125" bestFit="1" customWidth="1"/>
    <col min="52" max="52" width="18.1640625" bestFit="1" customWidth="1"/>
    <col min="53" max="53" width="12.1640625" bestFit="1" customWidth="1"/>
    <col min="54" max="54" width="10.1640625" bestFit="1" customWidth="1"/>
    <col min="55" max="55" width="13.6640625" bestFit="1" customWidth="1"/>
    <col min="56" max="56" width="6.33203125" bestFit="1" customWidth="1"/>
    <col min="57" max="57" width="16.1640625" bestFit="1" customWidth="1"/>
    <col min="58" max="58" width="13.6640625" bestFit="1" customWidth="1"/>
    <col min="59" max="59" width="15.6640625" bestFit="1" customWidth="1"/>
    <col min="60" max="60" width="17" bestFit="1" customWidth="1"/>
    <col min="61" max="61" width="18.33203125" bestFit="1" customWidth="1"/>
    <col min="62" max="62" width="9.83203125" bestFit="1" customWidth="1"/>
    <col min="63" max="63" width="15.6640625" bestFit="1" customWidth="1"/>
    <col min="64" max="64" width="12.33203125" bestFit="1" customWidth="1"/>
    <col min="65" max="65" width="12" bestFit="1" customWidth="1"/>
    <col min="66" max="66" width="16.5" bestFit="1" customWidth="1"/>
    <col min="67" max="67" width="16.83203125" bestFit="1" customWidth="1"/>
    <col min="68" max="68" width="13.1640625" bestFit="1" customWidth="1"/>
    <col min="69" max="69" width="18" bestFit="1" customWidth="1"/>
    <col min="70" max="70" width="18.83203125" bestFit="1" customWidth="1"/>
    <col min="71" max="71" width="28.5" bestFit="1" customWidth="1"/>
    <col min="72" max="72" width="11.83203125" bestFit="1" customWidth="1"/>
    <col min="73" max="73" width="15.83203125" bestFit="1" customWidth="1"/>
    <col min="74" max="74" width="14.6640625" bestFit="1" customWidth="1"/>
    <col min="75" max="75" width="11.83203125" bestFit="1" customWidth="1"/>
    <col min="76" max="76" width="12.33203125" bestFit="1" customWidth="1"/>
    <col min="77" max="77" width="19" bestFit="1" customWidth="1"/>
    <col min="78" max="78" width="20.1640625" bestFit="1" customWidth="1"/>
    <col min="79" max="79" width="10.33203125" bestFit="1" customWidth="1"/>
    <col min="80" max="80" width="19.5" bestFit="1" customWidth="1"/>
    <col min="81" max="81" width="22.83203125" bestFit="1" customWidth="1"/>
    <col min="82" max="82" width="36.83203125" bestFit="1" customWidth="1"/>
    <col min="83" max="83" width="31.83203125" bestFit="1" customWidth="1"/>
    <col min="84" max="84" width="29.1640625" bestFit="1" customWidth="1"/>
    <col min="85" max="85" width="31.5" bestFit="1" customWidth="1"/>
    <col min="86" max="86" width="14.1640625" bestFit="1" customWidth="1"/>
    <col min="87" max="88" width="15.5" bestFit="1" customWidth="1"/>
    <col min="89" max="90" width="15.1640625" bestFit="1" customWidth="1"/>
    <col min="91" max="91" width="8.83203125" customWidth="1"/>
    <col min="92" max="92" width="19.83203125" customWidth="1"/>
  </cols>
  <sheetData>
    <row r="1" spans="1:113" s="1" customFormat="1" ht="16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202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203</v>
      </c>
      <c r="CP1" s="9" t="s">
        <v>204</v>
      </c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</row>
    <row r="2" spans="1:113" ht="16" x14ac:dyDescent="0.2">
      <c r="A2" s="10">
        <v>511001</v>
      </c>
      <c r="B2" s="9">
        <v>0</v>
      </c>
      <c r="C2" s="11" t="s">
        <v>165</v>
      </c>
      <c r="D2" s="9">
        <v>1</v>
      </c>
      <c r="E2" s="8">
        <v>21.001970588235295</v>
      </c>
      <c r="F2" s="8">
        <v>1.521698224852071</v>
      </c>
      <c r="G2" s="12">
        <v>78.961956521739125</v>
      </c>
      <c r="H2" s="5">
        <f>G2+E2</f>
        <v>99.963927109974421</v>
      </c>
      <c r="I2" s="8">
        <v>6.6168629441624365</v>
      </c>
      <c r="J2" s="8">
        <v>1.5107784810126583</v>
      </c>
      <c r="K2" s="8">
        <v>8.2705882352941171E-2</v>
      </c>
      <c r="L2" s="8">
        <v>1.3586488095238094</v>
      </c>
      <c r="M2" s="8">
        <v>5.2663003663003666E-2</v>
      </c>
      <c r="N2" s="12">
        <v>128.17032967032966</v>
      </c>
      <c r="O2" s="13">
        <v>0</v>
      </c>
      <c r="P2" s="11">
        <v>65</v>
      </c>
      <c r="Q2" s="9">
        <v>0</v>
      </c>
      <c r="R2" s="11" t="s">
        <v>93</v>
      </c>
      <c r="S2" s="9">
        <v>22.24</v>
      </c>
      <c r="T2" s="9"/>
      <c r="U2" s="9">
        <v>0</v>
      </c>
      <c r="V2" s="9">
        <v>0</v>
      </c>
      <c r="W2" s="9">
        <v>0</v>
      </c>
      <c r="X2" s="9">
        <v>19</v>
      </c>
      <c r="Y2" s="9">
        <v>9</v>
      </c>
      <c r="Z2" s="9">
        <v>19</v>
      </c>
      <c r="AA2" s="9">
        <v>15</v>
      </c>
      <c r="AB2" s="9">
        <v>18</v>
      </c>
      <c r="AC2" s="9">
        <v>80</v>
      </c>
      <c r="AD2" s="9">
        <v>8</v>
      </c>
      <c r="AE2" s="9">
        <v>6</v>
      </c>
      <c r="AF2" s="9">
        <v>6</v>
      </c>
      <c r="AG2" s="9">
        <v>7</v>
      </c>
      <c r="AH2" s="9">
        <v>6</v>
      </c>
      <c r="AI2" s="9">
        <v>33</v>
      </c>
      <c r="AJ2" s="9">
        <v>0</v>
      </c>
      <c r="AK2" s="9">
        <v>0</v>
      </c>
      <c r="AL2" s="9">
        <v>49.9</v>
      </c>
      <c r="AM2" s="9">
        <v>40.5</v>
      </c>
      <c r="AN2" s="9">
        <v>46.8</v>
      </c>
      <c r="AO2" s="9">
        <v>46.6</v>
      </c>
      <c r="AP2" s="9">
        <v>48</v>
      </c>
      <c r="AQ2" s="9">
        <v>45.2</v>
      </c>
      <c r="AR2" s="9">
        <v>49.5</v>
      </c>
      <c r="AS2" s="9">
        <v>43.1</v>
      </c>
      <c r="AT2" s="9">
        <v>54.1</v>
      </c>
      <c r="AU2" s="9">
        <v>53.3</v>
      </c>
      <c r="AV2" s="9">
        <v>0</v>
      </c>
      <c r="AW2" s="9">
        <v>1</v>
      </c>
      <c r="AX2" s="9">
        <v>1</v>
      </c>
      <c r="AY2" s="9">
        <v>2</v>
      </c>
      <c r="AZ2" s="9">
        <v>57.54</v>
      </c>
      <c r="BA2" s="9">
        <v>54.91</v>
      </c>
      <c r="BB2" s="9">
        <v>50.71</v>
      </c>
      <c r="BC2" s="9">
        <v>48.43</v>
      </c>
      <c r="BD2" s="9">
        <v>58.54</v>
      </c>
      <c r="BE2" s="9">
        <v>57.34</v>
      </c>
      <c r="BF2" s="9">
        <v>56.17</v>
      </c>
      <c r="BG2" s="9">
        <v>56.1</v>
      </c>
      <c r="BH2" s="9">
        <v>57.24</v>
      </c>
      <c r="BI2" s="9">
        <v>52.41</v>
      </c>
      <c r="BJ2" s="9">
        <v>1.4</v>
      </c>
      <c r="BK2" s="9">
        <v>0</v>
      </c>
      <c r="BL2" s="9">
        <v>1</v>
      </c>
      <c r="BM2" s="9">
        <v>1</v>
      </c>
      <c r="BN2" s="9" t="s">
        <v>166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1</v>
      </c>
      <c r="BX2" s="9">
        <v>1</v>
      </c>
      <c r="BY2" s="9">
        <v>0</v>
      </c>
      <c r="BZ2" s="9">
        <v>4</v>
      </c>
      <c r="CA2" s="9">
        <v>2</v>
      </c>
      <c r="CB2" s="14">
        <v>51</v>
      </c>
      <c r="CC2" s="14">
        <v>45</v>
      </c>
      <c r="CD2" s="14">
        <v>50</v>
      </c>
      <c r="CE2" s="14">
        <v>45</v>
      </c>
      <c r="CF2" s="14">
        <v>47</v>
      </c>
      <c r="CG2" s="14">
        <v>41</v>
      </c>
      <c r="CH2" s="14">
        <v>0.34782608695652201</v>
      </c>
      <c r="CI2" s="9">
        <v>32</v>
      </c>
      <c r="CJ2" s="9">
        <v>34</v>
      </c>
      <c r="CK2" s="9">
        <v>28</v>
      </c>
      <c r="CL2" s="9">
        <v>28</v>
      </c>
      <c r="CM2" s="9">
        <v>57.64</v>
      </c>
      <c r="CN2" s="9">
        <v>39.020000000000003</v>
      </c>
      <c r="CO2" s="9">
        <v>0</v>
      </c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</row>
    <row r="3" spans="1:113" ht="16" x14ac:dyDescent="0.2">
      <c r="A3" s="10">
        <v>511002</v>
      </c>
      <c r="B3" s="9">
        <v>0</v>
      </c>
      <c r="C3" s="11" t="s">
        <v>165</v>
      </c>
      <c r="D3" s="9">
        <v>1</v>
      </c>
      <c r="E3" s="8">
        <v>12.047058823529412</v>
      </c>
      <c r="F3" s="8">
        <v>0.80473372781065089</v>
      </c>
      <c r="G3" s="12">
        <v>66.505434782608702</v>
      </c>
      <c r="H3" s="5">
        <f>G3+E3</f>
        <v>78.552493606138114</v>
      </c>
      <c r="I3" s="8">
        <v>3.9898477157360408</v>
      </c>
      <c r="J3" s="8">
        <v>0.95253164556962022</v>
      </c>
      <c r="K3" s="8">
        <v>4.5751633986928102E-2</v>
      </c>
      <c r="L3" s="8">
        <v>1.5416666666666667</v>
      </c>
      <c r="M3" s="8">
        <v>6.95970695970696E-2</v>
      </c>
      <c r="N3" s="12">
        <v>152.56043956043956</v>
      </c>
      <c r="O3" s="13">
        <v>0</v>
      </c>
      <c r="P3" s="11">
        <v>63</v>
      </c>
      <c r="Q3" s="9">
        <v>0</v>
      </c>
      <c r="R3" s="11" t="s">
        <v>93</v>
      </c>
      <c r="S3" s="9">
        <v>27.3</v>
      </c>
      <c r="T3" s="9"/>
      <c r="U3" s="9">
        <v>0</v>
      </c>
      <c r="V3" s="9">
        <v>0</v>
      </c>
      <c r="W3" s="9">
        <v>0</v>
      </c>
      <c r="X3" s="9">
        <v>16</v>
      </c>
      <c r="Y3" s="9">
        <v>15</v>
      </c>
      <c r="Z3" s="9">
        <v>21</v>
      </c>
      <c r="AA3" s="9">
        <v>16</v>
      </c>
      <c r="AB3" s="9">
        <v>18</v>
      </c>
      <c r="AC3" s="9">
        <v>86</v>
      </c>
      <c r="AD3" s="9">
        <v>8</v>
      </c>
      <c r="AE3" s="9">
        <v>7</v>
      </c>
      <c r="AF3" s="9">
        <v>7</v>
      </c>
      <c r="AG3" s="9">
        <v>6</v>
      </c>
      <c r="AH3" s="9">
        <v>10</v>
      </c>
      <c r="AI3" s="9">
        <v>38</v>
      </c>
      <c r="AJ3" s="9">
        <v>8</v>
      </c>
      <c r="AK3" s="9">
        <v>2</v>
      </c>
      <c r="AL3" s="9">
        <v>49.9</v>
      </c>
      <c r="AM3" s="9">
        <v>42.6</v>
      </c>
      <c r="AN3" s="9">
        <v>48.1</v>
      </c>
      <c r="AO3" s="9">
        <v>49.6</v>
      </c>
      <c r="AP3" s="9">
        <v>48.3</v>
      </c>
      <c r="AQ3" s="9">
        <v>48.6</v>
      </c>
      <c r="AR3" s="9">
        <v>51</v>
      </c>
      <c r="AS3" s="9">
        <v>46</v>
      </c>
      <c r="AT3" s="9">
        <v>54.1</v>
      </c>
      <c r="AU3" s="9">
        <v>59</v>
      </c>
      <c r="AV3" s="9">
        <v>13</v>
      </c>
      <c r="AW3" s="9">
        <v>6</v>
      </c>
      <c r="AX3" s="9">
        <v>1</v>
      </c>
      <c r="AY3" s="9">
        <v>7</v>
      </c>
      <c r="AZ3" s="9">
        <v>53.71</v>
      </c>
      <c r="BA3" s="9">
        <v>57.16</v>
      </c>
      <c r="BB3" s="9">
        <v>46.68</v>
      </c>
      <c r="BC3" s="9">
        <v>62.7</v>
      </c>
      <c r="BD3" s="9">
        <v>55.57</v>
      </c>
      <c r="BE3" s="9">
        <v>57.34</v>
      </c>
      <c r="BF3" s="9">
        <v>56.17</v>
      </c>
      <c r="BG3" s="9">
        <v>58.72</v>
      </c>
      <c r="BH3" s="9">
        <v>58.58</v>
      </c>
      <c r="BI3" s="9">
        <v>53.2</v>
      </c>
      <c r="BJ3" s="9">
        <v>1.2</v>
      </c>
      <c r="BK3" s="9">
        <v>0</v>
      </c>
      <c r="BL3" s="9">
        <v>1</v>
      </c>
      <c r="BM3" s="9">
        <v>1</v>
      </c>
      <c r="BN3" s="9" t="s">
        <v>166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1</v>
      </c>
      <c r="BX3" s="9">
        <v>1</v>
      </c>
      <c r="BY3" s="9">
        <v>1</v>
      </c>
      <c r="BZ3" s="9">
        <v>5</v>
      </c>
      <c r="CA3" s="9">
        <v>8</v>
      </c>
      <c r="CB3" s="14"/>
      <c r="CC3" s="14"/>
      <c r="CD3" s="14"/>
      <c r="CE3" s="14"/>
      <c r="CF3" s="14"/>
      <c r="CG3" s="14"/>
      <c r="CH3" s="14">
        <v>0.175438596491228</v>
      </c>
      <c r="CI3" s="9">
        <v>40</v>
      </c>
      <c r="CJ3" s="9">
        <v>39</v>
      </c>
      <c r="CK3" s="9">
        <v>42</v>
      </c>
      <c r="CL3" s="9">
        <v>42</v>
      </c>
      <c r="CM3" s="9">
        <v>63</v>
      </c>
      <c r="CN3" s="9">
        <v>58</v>
      </c>
      <c r="CO3" s="9">
        <v>0</v>
      </c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</row>
    <row r="4" spans="1:113" ht="16" x14ac:dyDescent="0.2">
      <c r="A4" s="10">
        <v>511003</v>
      </c>
      <c r="B4" s="9">
        <v>0</v>
      </c>
      <c r="C4" s="11" t="s">
        <v>165</v>
      </c>
      <c r="D4" s="9">
        <v>1</v>
      </c>
      <c r="E4" s="8">
        <v>10.916264705882353</v>
      </c>
      <c r="F4" s="8">
        <v>0.9493431952662722</v>
      </c>
      <c r="G4" s="12">
        <v>49.445652173913047</v>
      </c>
      <c r="H4" s="5">
        <f>G4+E4</f>
        <v>60.361916879795402</v>
      </c>
      <c r="I4" s="8">
        <v>3.827279187817259</v>
      </c>
      <c r="J4" s="8">
        <v>1.0556234177215189</v>
      </c>
      <c r="K4" s="8">
        <v>1.9549019607843138E-2</v>
      </c>
      <c r="L4" s="8">
        <v>1.7244345238095238</v>
      </c>
      <c r="M4" s="8">
        <v>6.1029304029304031E-2</v>
      </c>
      <c r="N4" s="12">
        <v>157.13186813186815</v>
      </c>
      <c r="O4" s="13">
        <v>0</v>
      </c>
      <c r="P4" s="11">
        <v>57</v>
      </c>
      <c r="Q4" s="9">
        <v>0</v>
      </c>
      <c r="R4" s="11" t="s">
        <v>93</v>
      </c>
      <c r="S4" s="9">
        <v>24.4</v>
      </c>
      <c r="T4" s="9"/>
      <c r="U4" s="9">
        <v>0</v>
      </c>
      <c r="V4" s="9">
        <v>0</v>
      </c>
      <c r="W4" s="9">
        <v>0</v>
      </c>
      <c r="X4" s="9">
        <v>9</v>
      </c>
      <c r="Y4" s="9">
        <v>8</v>
      </c>
      <c r="Z4" s="9">
        <v>11</v>
      </c>
      <c r="AA4" s="9">
        <v>9</v>
      </c>
      <c r="AB4" s="9">
        <v>13</v>
      </c>
      <c r="AC4" s="9">
        <v>50</v>
      </c>
      <c r="AD4" s="9">
        <v>4</v>
      </c>
      <c r="AE4" s="9">
        <v>4</v>
      </c>
      <c r="AF4" s="9">
        <v>4</v>
      </c>
      <c r="AG4" s="9">
        <v>4</v>
      </c>
      <c r="AH4" s="9">
        <v>7</v>
      </c>
      <c r="AI4" s="9">
        <v>23</v>
      </c>
      <c r="AJ4" s="9">
        <v>0</v>
      </c>
      <c r="AK4" s="9">
        <v>0</v>
      </c>
      <c r="AL4" s="9">
        <v>40.700000000000003</v>
      </c>
      <c r="AM4" s="9">
        <v>30.7</v>
      </c>
      <c r="AN4" s="9">
        <v>33.1</v>
      </c>
      <c r="AO4" s="9">
        <v>50</v>
      </c>
      <c r="AP4" s="9">
        <v>36</v>
      </c>
      <c r="AQ4" s="9">
        <v>38.299999999999997</v>
      </c>
      <c r="AR4" s="9">
        <v>43.2</v>
      </c>
      <c r="AS4" s="9">
        <v>37.1</v>
      </c>
      <c r="AT4" s="9">
        <v>67.7</v>
      </c>
      <c r="AU4" s="9">
        <v>67.599999999999994</v>
      </c>
      <c r="AV4" s="9">
        <v>0</v>
      </c>
      <c r="AW4" s="9">
        <v>0</v>
      </c>
      <c r="AX4" s="9">
        <v>0</v>
      </c>
      <c r="AY4" s="9">
        <v>0</v>
      </c>
      <c r="AZ4" s="9">
        <v>57.54</v>
      </c>
      <c r="BA4" s="9">
        <v>57.16</v>
      </c>
      <c r="BB4" s="9">
        <v>62</v>
      </c>
      <c r="BC4" s="9">
        <v>66.5</v>
      </c>
      <c r="BD4" s="9">
        <v>64.48</v>
      </c>
      <c r="BE4" s="9">
        <v>57.34</v>
      </c>
      <c r="BF4" s="9">
        <v>56.17</v>
      </c>
      <c r="BG4" s="9">
        <v>58.72</v>
      </c>
      <c r="BH4" s="9">
        <v>58.25</v>
      </c>
      <c r="BI4" s="9">
        <v>60.89</v>
      </c>
      <c r="BJ4" s="9">
        <v>1</v>
      </c>
      <c r="BK4" s="9">
        <v>0</v>
      </c>
      <c r="BL4" s="9">
        <v>0</v>
      </c>
      <c r="BM4" s="9">
        <v>0</v>
      </c>
      <c r="BN4" s="9" t="s">
        <v>166</v>
      </c>
      <c r="BO4" s="9">
        <v>1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1</v>
      </c>
      <c r="CA4" s="9">
        <v>6</v>
      </c>
      <c r="CB4" s="14">
        <v>45</v>
      </c>
      <c r="CC4" s="14">
        <v>41</v>
      </c>
      <c r="CD4" s="14"/>
      <c r="CE4" s="14"/>
      <c r="CF4" s="14"/>
      <c r="CG4" s="14"/>
      <c r="CH4" s="14">
        <v>0.52631578947368396</v>
      </c>
      <c r="CI4" s="9">
        <v>55</v>
      </c>
      <c r="CJ4" s="9">
        <v>55</v>
      </c>
      <c r="CK4" s="9">
        <v>52</v>
      </c>
      <c r="CL4" s="9">
        <v>49</v>
      </c>
      <c r="CM4" s="9">
        <v>46</v>
      </c>
      <c r="CN4" s="9">
        <v>54</v>
      </c>
      <c r="CO4" s="9">
        <v>0</v>
      </c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</row>
    <row r="5" spans="1:113" ht="16" x14ac:dyDescent="0.2">
      <c r="A5" s="10">
        <v>511004</v>
      </c>
      <c r="B5" s="9">
        <v>0</v>
      </c>
      <c r="C5" s="11" t="s">
        <v>165</v>
      </c>
      <c r="D5" s="9">
        <v>1</v>
      </c>
      <c r="E5" s="8">
        <v>19.569411764705883</v>
      </c>
      <c r="F5" s="8">
        <v>1.4455502958579882</v>
      </c>
      <c r="G5" s="12">
        <v>69.668478260869563</v>
      </c>
      <c r="H5" s="5">
        <f>G5+E5</f>
        <v>89.237890025575439</v>
      </c>
      <c r="I5" s="8">
        <v>4.2118121827411166</v>
      </c>
      <c r="J5" s="8">
        <v>0.92930696202531649</v>
      </c>
      <c r="K5" s="8">
        <v>6.9856209150326795E-2</v>
      </c>
      <c r="L5" s="8">
        <v>1.6251607142857143</v>
      </c>
      <c r="M5" s="8">
        <v>6.8534798534798533E-2</v>
      </c>
      <c r="N5" s="12">
        <v>172.63186813186815</v>
      </c>
      <c r="O5" s="13">
        <v>0</v>
      </c>
      <c r="P5" s="11">
        <v>56</v>
      </c>
      <c r="Q5" s="9">
        <v>0</v>
      </c>
      <c r="R5" s="9" t="s">
        <v>93</v>
      </c>
      <c r="S5" s="9">
        <v>28</v>
      </c>
      <c r="T5" s="9"/>
      <c r="U5" s="9">
        <v>0</v>
      </c>
      <c r="V5" s="9">
        <v>0</v>
      </c>
      <c r="W5" s="9">
        <v>0</v>
      </c>
      <c r="X5" s="9">
        <v>14</v>
      </c>
      <c r="Y5" s="9">
        <v>10</v>
      </c>
      <c r="Z5" s="9">
        <v>17</v>
      </c>
      <c r="AA5" s="9">
        <v>15</v>
      </c>
      <c r="AB5" s="9">
        <v>17</v>
      </c>
      <c r="AC5" s="9">
        <v>73</v>
      </c>
      <c r="AD5" s="9">
        <v>6</v>
      </c>
      <c r="AE5" s="9">
        <v>11</v>
      </c>
      <c r="AF5" s="9">
        <v>8</v>
      </c>
      <c r="AG5" s="9">
        <v>8</v>
      </c>
      <c r="AH5" s="9">
        <v>5</v>
      </c>
      <c r="AI5" s="9">
        <v>38</v>
      </c>
      <c r="AJ5" s="9">
        <v>16</v>
      </c>
      <c r="AK5" s="9">
        <v>3</v>
      </c>
      <c r="AL5" s="9">
        <v>52</v>
      </c>
      <c r="AM5" s="9">
        <v>42.6</v>
      </c>
      <c r="AN5" s="9">
        <v>41</v>
      </c>
      <c r="AO5" s="9">
        <v>44</v>
      </c>
      <c r="AP5" s="9">
        <v>43.3</v>
      </c>
      <c r="AQ5" s="9">
        <v>45.7</v>
      </c>
      <c r="AR5" s="9">
        <v>48.1</v>
      </c>
      <c r="AS5" s="9">
        <v>48.4</v>
      </c>
      <c r="AT5" s="9">
        <v>54.1</v>
      </c>
      <c r="AU5" s="9">
        <v>48.3</v>
      </c>
      <c r="AV5" s="9">
        <v>11</v>
      </c>
      <c r="AW5" s="9">
        <v>3</v>
      </c>
      <c r="AX5" s="9">
        <v>2</v>
      </c>
      <c r="AY5" s="9">
        <v>5</v>
      </c>
      <c r="AZ5" s="9">
        <v>53.71</v>
      </c>
      <c r="BA5" s="9">
        <v>45.93</v>
      </c>
      <c r="BB5" s="9">
        <v>50.71</v>
      </c>
      <c r="BC5" s="9">
        <v>38.92</v>
      </c>
      <c r="BD5" s="9">
        <v>64.48</v>
      </c>
      <c r="BE5" s="9">
        <v>57.34</v>
      </c>
      <c r="BF5" s="9">
        <v>56.17</v>
      </c>
      <c r="BG5" s="9">
        <v>56.1</v>
      </c>
      <c r="BH5" s="9">
        <v>60.77</v>
      </c>
      <c r="BI5" s="9">
        <v>45.44</v>
      </c>
      <c r="BJ5" s="9">
        <v>1.1000000000000001</v>
      </c>
      <c r="BK5" s="9">
        <v>0</v>
      </c>
      <c r="BL5" s="9">
        <v>1</v>
      </c>
      <c r="BM5" s="9">
        <v>1</v>
      </c>
      <c r="BN5" s="9" t="s">
        <v>166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1</v>
      </c>
      <c r="BW5" s="9">
        <v>1</v>
      </c>
      <c r="BX5" s="9">
        <v>0</v>
      </c>
      <c r="BY5" s="9">
        <v>1</v>
      </c>
      <c r="BZ5" s="9">
        <v>5</v>
      </c>
      <c r="CA5" s="9">
        <v>6</v>
      </c>
      <c r="CB5" s="14">
        <v>50</v>
      </c>
      <c r="CC5" s="14">
        <v>34</v>
      </c>
      <c r="CD5" s="14">
        <v>43</v>
      </c>
      <c r="CE5" s="14">
        <v>53</v>
      </c>
      <c r="CF5" s="14">
        <v>44</v>
      </c>
      <c r="CG5" s="14">
        <v>43</v>
      </c>
      <c r="CH5" s="14"/>
      <c r="CI5" s="9">
        <v>52</v>
      </c>
      <c r="CJ5" s="9">
        <v>56</v>
      </c>
      <c r="CK5" s="9">
        <v>48</v>
      </c>
      <c r="CL5" s="9">
        <v>44</v>
      </c>
      <c r="CM5" s="9">
        <v>60</v>
      </c>
      <c r="CN5" s="9">
        <v>31</v>
      </c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</row>
    <row r="6" spans="1:113" ht="16" x14ac:dyDescent="0.2">
      <c r="A6" s="10">
        <v>511005</v>
      </c>
      <c r="B6" s="9">
        <v>0</v>
      </c>
      <c r="C6" s="11" t="s">
        <v>165</v>
      </c>
      <c r="D6" s="9">
        <v>1</v>
      </c>
      <c r="E6" s="8">
        <v>11.833276470588235</v>
      </c>
      <c r="F6" s="8">
        <v>0.71320118343195271</v>
      </c>
      <c r="G6" s="12">
        <v>56.641304347826086</v>
      </c>
      <c r="H6" s="9">
        <v>68.474580818414324</v>
      </c>
      <c r="I6" s="8">
        <v>2.5686751269035533</v>
      </c>
      <c r="J6" s="8">
        <v>1.1544810126582277</v>
      </c>
      <c r="K6" s="8">
        <v>3.7562091503267975E-2</v>
      </c>
      <c r="L6" s="8">
        <v>2.0873452380952378</v>
      </c>
      <c r="M6" s="8">
        <v>5.6047619047619048E-2</v>
      </c>
      <c r="N6" s="12">
        <v>312.82417582417582</v>
      </c>
      <c r="O6" s="13">
        <v>0</v>
      </c>
      <c r="P6" s="11">
        <v>67</v>
      </c>
      <c r="Q6" s="9">
        <v>0</v>
      </c>
      <c r="R6" s="9" t="s">
        <v>93</v>
      </c>
      <c r="S6" s="9">
        <v>23.1</v>
      </c>
      <c r="T6" s="9"/>
      <c r="U6" s="9">
        <v>0</v>
      </c>
      <c r="V6" s="9">
        <v>0</v>
      </c>
      <c r="W6" s="9">
        <v>0</v>
      </c>
      <c r="X6" s="9">
        <v>12</v>
      </c>
      <c r="Y6" s="9">
        <v>6</v>
      </c>
      <c r="Z6" s="9">
        <v>16</v>
      </c>
      <c r="AA6" s="9">
        <v>11</v>
      </c>
      <c r="AB6" s="9">
        <v>16</v>
      </c>
      <c r="AC6" s="9">
        <v>61</v>
      </c>
      <c r="AD6" s="9">
        <v>6</v>
      </c>
      <c r="AE6" s="9">
        <v>4</v>
      </c>
      <c r="AF6" s="9">
        <v>4</v>
      </c>
      <c r="AG6" s="9">
        <v>7</v>
      </c>
      <c r="AH6" s="9">
        <v>7</v>
      </c>
      <c r="AI6" s="9">
        <v>28</v>
      </c>
      <c r="AJ6" s="9">
        <v>0</v>
      </c>
      <c r="AK6" s="9">
        <v>0</v>
      </c>
      <c r="AL6" s="9">
        <v>51.2</v>
      </c>
      <c r="AM6" s="9">
        <v>37.700000000000003</v>
      </c>
      <c r="AN6" s="9">
        <v>48.3</v>
      </c>
      <c r="AO6" s="9">
        <v>49.3</v>
      </c>
      <c r="AP6" s="9">
        <v>46.9</v>
      </c>
      <c r="AQ6" s="9">
        <v>47</v>
      </c>
      <c r="AR6" s="9">
        <v>43.1</v>
      </c>
      <c r="AS6" s="9">
        <v>37.1</v>
      </c>
      <c r="AT6" s="9">
        <v>61.9</v>
      </c>
      <c r="AU6" s="9">
        <v>59</v>
      </c>
      <c r="AV6" s="9">
        <v>0</v>
      </c>
      <c r="AW6" s="9">
        <v>4</v>
      </c>
      <c r="AX6" s="9">
        <v>3</v>
      </c>
      <c r="AY6" s="9">
        <v>7</v>
      </c>
      <c r="AZ6" s="9">
        <v>57.54</v>
      </c>
      <c r="BA6" s="9">
        <v>57.16</v>
      </c>
      <c r="BB6" s="9">
        <v>46.68</v>
      </c>
      <c r="BC6" s="9">
        <v>62.7</v>
      </c>
      <c r="BD6" s="9">
        <v>58.54</v>
      </c>
      <c r="BE6" s="9">
        <v>57.34</v>
      </c>
      <c r="BF6" s="9">
        <v>56.17</v>
      </c>
      <c r="BG6" s="9">
        <v>56.1</v>
      </c>
      <c r="BH6" s="9">
        <v>57.13</v>
      </c>
      <c r="BI6" s="9">
        <v>55.48</v>
      </c>
      <c r="BJ6" s="9">
        <v>1.1000000000000001</v>
      </c>
      <c r="BK6" s="9">
        <v>0</v>
      </c>
      <c r="BL6" s="9">
        <v>1</v>
      </c>
      <c r="BM6" s="9">
        <v>0</v>
      </c>
      <c r="BN6" s="9" t="s">
        <v>166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1</v>
      </c>
      <c r="BX6" s="9">
        <v>0</v>
      </c>
      <c r="BY6" s="9">
        <v>1</v>
      </c>
      <c r="BZ6" s="9">
        <v>3</v>
      </c>
      <c r="CA6" s="9">
        <v>4</v>
      </c>
      <c r="CB6" s="9"/>
      <c r="CC6" s="9"/>
      <c r="CD6" s="9"/>
      <c r="CE6" s="9"/>
      <c r="CF6" s="9"/>
      <c r="CG6" s="9"/>
      <c r="CH6" s="14"/>
      <c r="CI6" s="9">
        <v>37</v>
      </c>
      <c r="CJ6" s="9">
        <v>37</v>
      </c>
      <c r="CK6" s="9">
        <v>37</v>
      </c>
      <c r="CL6" s="9">
        <v>36</v>
      </c>
      <c r="CM6" s="9">
        <v>58</v>
      </c>
      <c r="CN6" s="9">
        <v>46</v>
      </c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</row>
    <row r="7" spans="1:113" ht="16" x14ac:dyDescent="0.2">
      <c r="A7" s="9">
        <v>890001</v>
      </c>
      <c r="B7" s="9">
        <v>1</v>
      </c>
      <c r="C7" s="9" t="s">
        <v>131</v>
      </c>
      <c r="D7" s="9">
        <v>1</v>
      </c>
      <c r="E7" s="9">
        <v>12.87567</v>
      </c>
      <c r="F7" s="9">
        <v>0.88715999999999995</v>
      </c>
      <c r="G7" s="9">
        <v>52.8</v>
      </c>
      <c r="H7" s="9">
        <v>65.7</v>
      </c>
      <c r="I7" s="9">
        <v>5.1704600000000003</v>
      </c>
      <c r="J7" s="9">
        <v>0.86897000000000002</v>
      </c>
      <c r="K7" s="9">
        <v>3.2930000000000001E-2</v>
      </c>
      <c r="L7" s="9">
        <v>1.29091</v>
      </c>
      <c r="M7" s="9">
        <v>0.12209</v>
      </c>
      <c r="N7" s="9">
        <v>248.9</v>
      </c>
      <c r="O7" s="9">
        <v>0</v>
      </c>
      <c r="P7" s="9">
        <v>55</v>
      </c>
      <c r="Q7" s="9">
        <v>1</v>
      </c>
      <c r="R7" s="9" t="s">
        <v>93</v>
      </c>
      <c r="S7" s="9">
        <v>20.399999999999999</v>
      </c>
      <c r="T7" s="9">
        <v>6</v>
      </c>
      <c r="U7" s="9">
        <v>0</v>
      </c>
      <c r="V7" s="9">
        <v>0</v>
      </c>
      <c r="W7" s="9">
        <v>0</v>
      </c>
      <c r="X7" s="9">
        <v>17</v>
      </c>
      <c r="Y7" s="9">
        <v>17</v>
      </c>
      <c r="Z7" s="9">
        <v>21</v>
      </c>
      <c r="AA7" s="9">
        <v>16</v>
      </c>
      <c r="AB7" s="9">
        <v>21</v>
      </c>
      <c r="AC7" s="9">
        <v>92</v>
      </c>
      <c r="AD7" s="9">
        <v>14</v>
      </c>
      <c r="AE7" s="9">
        <v>12</v>
      </c>
      <c r="AF7" s="9">
        <v>9</v>
      </c>
      <c r="AG7" s="9">
        <v>12</v>
      </c>
      <c r="AH7" s="9">
        <v>16</v>
      </c>
      <c r="AI7" s="9">
        <v>63</v>
      </c>
      <c r="AJ7" s="9">
        <v>0</v>
      </c>
      <c r="AK7" s="9"/>
      <c r="AL7" s="9">
        <v>30.7</v>
      </c>
      <c r="AM7" s="9">
        <v>40.700000000000003</v>
      </c>
      <c r="AN7" s="9">
        <v>52.7</v>
      </c>
      <c r="AO7" s="9">
        <v>50</v>
      </c>
      <c r="AP7" s="9">
        <v>56.8</v>
      </c>
      <c r="AQ7" s="9">
        <v>56.2</v>
      </c>
      <c r="AR7" s="9">
        <v>49.4</v>
      </c>
      <c r="AS7" s="9">
        <v>48.4</v>
      </c>
      <c r="AT7" s="9">
        <v>54.1</v>
      </c>
      <c r="AU7" s="9">
        <v>48.3</v>
      </c>
      <c r="AV7" s="9">
        <v>0</v>
      </c>
      <c r="AW7" s="9">
        <v>4</v>
      </c>
      <c r="AX7" s="9">
        <v>7</v>
      </c>
      <c r="AY7" s="9">
        <v>11</v>
      </c>
      <c r="AZ7" s="9">
        <v>49.88</v>
      </c>
      <c r="BA7" s="9">
        <v>36.950000000000003</v>
      </c>
      <c r="BB7" s="9">
        <v>55.55</v>
      </c>
      <c r="BC7" s="9">
        <v>55.56</v>
      </c>
      <c r="BD7" s="9">
        <v>43.69</v>
      </c>
      <c r="BE7" s="9">
        <v>57.34</v>
      </c>
      <c r="BF7" s="9">
        <v>42.24</v>
      </c>
      <c r="BG7" s="9">
        <v>53.48</v>
      </c>
      <c r="BH7" s="9">
        <v>49</v>
      </c>
      <c r="BI7" s="9">
        <v>49.82</v>
      </c>
      <c r="BJ7" s="9">
        <v>1.4</v>
      </c>
      <c r="BK7" s="9">
        <v>0</v>
      </c>
      <c r="BL7" s="9">
        <v>0</v>
      </c>
      <c r="BM7" s="9">
        <v>0</v>
      </c>
      <c r="BN7" s="9">
        <v>0</v>
      </c>
      <c r="BO7" s="9">
        <v>1</v>
      </c>
      <c r="BP7" s="9">
        <v>1</v>
      </c>
      <c r="BQ7" s="9">
        <v>1</v>
      </c>
      <c r="BR7" s="9">
        <v>0</v>
      </c>
      <c r="BS7" s="9">
        <v>1</v>
      </c>
      <c r="BT7" s="9">
        <v>1</v>
      </c>
      <c r="BU7" s="9">
        <v>0</v>
      </c>
      <c r="BV7" s="9">
        <v>2</v>
      </c>
      <c r="BW7" s="9">
        <v>1</v>
      </c>
      <c r="BX7" s="9">
        <v>2</v>
      </c>
      <c r="BY7" s="9">
        <v>2</v>
      </c>
      <c r="BZ7" s="9">
        <v>12</v>
      </c>
      <c r="CA7" s="9">
        <v>11</v>
      </c>
      <c r="CB7" s="9">
        <v>38</v>
      </c>
      <c r="CC7" s="9">
        <v>50</v>
      </c>
      <c r="CD7" s="9">
        <v>41</v>
      </c>
      <c r="CE7" s="9">
        <v>49</v>
      </c>
      <c r="CF7" s="9">
        <v>49</v>
      </c>
      <c r="CG7" s="9">
        <v>51</v>
      </c>
      <c r="CH7" s="14">
        <v>0.42553191489361702</v>
      </c>
      <c r="CI7" s="9">
        <v>28</v>
      </c>
      <c r="CJ7" s="9">
        <v>28</v>
      </c>
      <c r="CK7" s="9">
        <v>30</v>
      </c>
      <c r="CL7" s="9">
        <v>28</v>
      </c>
      <c r="CM7" s="9">
        <v>84</v>
      </c>
      <c r="CN7" s="9">
        <v>20</v>
      </c>
      <c r="CO7" s="9">
        <v>0</v>
      </c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</row>
    <row r="8" spans="1:113" ht="16" x14ac:dyDescent="0.2">
      <c r="A8" s="9">
        <v>890006</v>
      </c>
      <c r="B8" s="9">
        <v>1</v>
      </c>
      <c r="C8" s="9" t="s">
        <v>131</v>
      </c>
      <c r="D8" s="9">
        <v>1</v>
      </c>
      <c r="E8" s="9">
        <v>10.49166</v>
      </c>
      <c r="F8" s="9">
        <v>1.09552</v>
      </c>
      <c r="G8" s="9">
        <v>48.3</v>
      </c>
      <c r="H8" s="9">
        <v>58.8</v>
      </c>
      <c r="I8" s="9">
        <v>7.0441900000000004</v>
      </c>
      <c r="J8" s="9">
        <v>1.33815</v>
      </c>
      <c r="K8" s="9">
        <v>5.6430000000000001E-2</v>
      </c>
      <c r="L8" s="9">
        <v>2.11395</v>
      </c>
      <c r="M8" s="15">
        <v>1.4245000000000001E-2</v>
      </c>
      <c r="N8" s="9">
        <v>127.2</v>
      </c>
      <c r="O8" s="9">
        <v>0</v>
      </c>
      <c r="P8" s="9">
        <v>60</v>
      </c>
      <c r="Q8" s="9">
        <v>0</v>
      </c>
      <c r="R8" s="9" t="s">
        <v>132</v>
      </c>
      <c r="S8" s="9">
        <v>35.799999999999997</v>
      </c>
      <c r="T8" s="9">
        <v>1</v>
      </c>
      <c r="U8" s="9">
        <v>0</v>
      </c>
      <c r="V8" s="9">
        <v>0</v>
      </c>
      <c r="W8" s="9">
        <v>0</v>
      </c>
      <c r="X8" s="9">
        <v>15</v>
      </c>
      <c r="Y8" s="9">
        <v>11</v>
      </c>
      <c r="Z8" s="9">
        <v>20</v>
      </c>
      <c r="AA8" s="9">
        <v>12</v>
      </c>
      <c r="AB8" s="9">
        <v>15</v>
      </c>
      <c r="AC8" s="9">
        <v>73</v>
      </c>
      <c r="AD8" s="9">
        <v>14</v>
      </c>
      <c r="AE8" s="9">
        <v>14</v>
      </c>
      <c r="AF8" s="9">
        <v>15</v>
      </c>
      <c r="AG8" s="9">
        <v>14</v>
      </c>
      <c r="AH8" s="9">
        <v>14</v>
      </c>
      <c r="AI8" s="9">
        <v>71</v>
      </c>
      <c r="AJ8" s="9">
        <v>19</v>
      </c>
      <c r="AK8" s="9">
        <v>3</v>
      </c>
      <c r="AL8" s="9">
        <v>49.9</v>
      </c>
      <c r="AM8" s="9">
        <v>60.3</v>
      </c>
      <c r="AN8" s="9">
        <v>62.7</v>
      </c>
      <c r="AO8" s="9">
        <v>62.4</v>
      </c>
      <c r="AP8" s="9">
        <v>69.8</v>
      </c>
      <c r="AQ8" s="9">
        <v>62.6</v>
      </c>
      <c r="AR8" s="9">
        <v>56.6</v>
      </c>
      <c r="AS8" s="9">
        <v>57.9</v>
      </c>
      <c r="AT8" s="9">
        <v>37.4</v>
      </c>
      <c r="AU8" s="9">
        <v>45.8</v>
      </c>
      <c r="AV8" s="9">
        <v>38</v>
      </c>
      <c r="AW8" s="9">
        <v>7</v>
      </c>
      <c r="AX8" s="9">
        <v>8</v>
      </c>
      <c r="AY8" s="9">
        <v>15</v>
      </c>
      <c r="AZ8" s="9">
        <v>30.75</v>
      </c>
      <c r="BA8" s="9">
        <v>30.21</v>
      </c>
      <c r="BB8" s="9">
        <v>38.21</v>
      </c>
      <c r="BC8" s="9">
        <v>43.68</v>
      </c>
      <c r="BD8" s="9">
        <v>43.69</v>
      </c>
      <c r="BE8" s="9">
        <v>37.29</v>
      </c>
      <c r="BF8" s="9">
        <v>28.31</v>
      </c>
      <c r="BG8" s="9">
        <v>40.4</v>
      </c>
      <c r="BH8" s="9">
        <v>35.76</v>
      </c>
      <c r="BI8" s="9">
        <v>39.14</v>
      </c>
      <c r="BJ8" s="9">
        <v>2.2999999999999998</v>
      </c>
      <c r="BK8" s="9">
        <v>0</v>
      </c>
      <c r="BL8" s="9">
        <v>1</v>
      </c>
      <c r="BM8" s="9">
        <v>2</v>
      </c>
      <c r="BN8" s="9"/>
      <c r="BO8" s="9">
        <v>1</v>
      </c>
      <c r="BP8" s="9">
        <v>1</v>
      </c>
      <c r="BQ8" s="9">
        <v>0</v>
      </c>
      <c r="BR8" s="9">
        <v>0</v>
      </c>
      <c r="BS8" s="9">
        <v>1</v>
      </c>
      <c r="BT8" s="9">
        <v>2</v>
      </c>
      <c r="BU8" s="9">
        <v>0</v>
      </c>
      <c r="BV8" s="9">
        <v>1</v>
      </c>
      <c r="BW8" s="9">
        <v>2</v>
      </c>
      <c r="BX8" s="9">
        <v>2</v>
      </c>
      <c r="BY8" s="9">
        <v>2</v>
      </c>
      <c r="BZ8" s="9">
        <v>15</v>
      </c>
      <c r="CA8" s="9">
        <v>14</v>
      </c>
      <c r="CB8" s="9">
        <v>50</v>
      </c>
      <c r="CC8" s="9">
        <v>52</v>
      </c>
      <c r="CD8" s="9">
        <v>60</v>
      </c>
      <c r="CE8" s="9">
        <v>59</v>
      </c>
      <c r="CF8" s="9">
        <v>56</v>
      </c>
      <c r="CG8" s="9">
        <v>50</v>
      </c>
      <c r="CH8" s="14">
        <v>0.12068965517241401</v>
      </c>
      <c r="CI8" s="9">
        <v>48</v>
      </c>
      <c r="CJ8" s="9">
        <v>48</v>
      </c>
      <c r="CK8" s="9">
        <v>40</v>
      </c>
      <c r="CL8" s="9">
        <v>44</v>
      </c>
      <c r="CM8" s="9">
        <v>38.18</v>
      </c>
      <c r="CN8" s="9">
        <v>22.15</v>
      </c>
      <c r="CO8" s="9">
        <v>0</v>
      </c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</row>
    <row r="9" spans="1:113" ht="16" x14ac:dyDescent="0.2">
      <c r="A9" s="9">
        <v>890010</v>
      </c>
      <c r="B9" s="9">
        <v>1</v>
      </c>
      <c r="C9" s="9" t="s">
        <v>131</v>
      </c>
      <c r="D9" s="9">
        <v>1</v>
      </c>
      <c r="E9" s="9">
        <v>5.1000500000000004</v>
      </c>
      <c r="F9" s="9">
        <v>1.27643</v>
      </c>
      <c r="G9" s="9">
        <v>33.1</v>
      </c>
      <c r="H9" s="9">
        <v>38.200000000000003</v>
      </c>
      <c r="I9" s="9">
        <v>2.8776899999999999</v>
      </c>
      <c r="J9" s="9">
        <v>0.55242999999999998</v>
      </c>
      <c r="K9" s="9">
        <v>9.2590000000000006E-2</v>
      </c>
      <c r="L9" s="9">
        <v>2.5701900000000002</v>
      </c>
      <c r="M9" s="15">
        <v>1.4245000000000001E-2</v>
      </c>
      <c r="N9" s="9">
        <v>374.5</v>
      </c>
      <c r="O9" s="9">
        <v>1</v>
      </c>
      <c r="P9" s="9">
        <v>34</v>
      </c>
      <c r="Q9" s="9">
        <v>1</v>
      </c>
      <c r="R9" s="9" t="s">
        <v>93</v>
      </c>
      <c r="S9" s="9">
        <v>33.799999999999997</v>
      </c>
      <c r="T9" s="9">
        <v>10</v>
      </c>
      <c r="U9" s="9">
        <v>0</v>
      </c>
      <c r="V9" s="9">
        <v>0</v>
      </c>
      <c r="W9" s="9">
        <v>0</v>
      </c>
      <c r="X9" s="9">
        <v>11</v>
      </c>
      <c r="Y9" s="9">
        <v>6</v>
      </c>
      <c r="Z9" s="9">
        <v>10</v>
      </c>
      <c r="AA9" s="9">
        <v>10</v>
      </c>
      <c r="AB9" s="9">
        <v>14</v>
      </c>
      <c r="AC9" s="9">
        <v>51</v>
      </c>
      <c r="AD9" s="9">
        <v>14</v>
      </c>
      <c r="AE9" s="9">
        <v>14</v>
      </c>
      <c r="AF9" s="9">
        <v>15</v>
      </c>
      <c r="AG9" s="9">
        <v>5</v>
      </c>
      <c r="AH9" s="9">
        <v>10</v>
      </c>
      <c r="AI9" s="9">
        <v>58</v>
      </c>
      <c r="AJ9" s="9">
        <v>0</v>
      </c>
      <c r="AK9" s="9">
        <v>0</v>
      </c>
      <c r="AL9" s="9">
        <v>30.7</v>
      </c>
      <c r="AM9" s="9">
        <v>40.700000000000003</v>
      </c>
      <c r="AN9" s="9">
        <v>60.2</v>
      </c>
      <c r="AO9" s="9">
        <v>50</v>
      </c>
      <c r="AP9" s="9">
        <v>59.1</v>
      </c>
      <c r="AQ9" s="9">
        <v>42.2</v>
      </c>
      <c r="AR9" s="9">
        <v>44.4</v>
      </c>
      <c r="AS9" s="9">
        <v>47.3</v>
      </c>
      <c r="AT9" s="9">
        <v>50.8</v>
      </c>
      <c r="AU9" s="9">
        <v>45.8</v>
      </c>
      <c r="AV9" s="9">
        <v>0</v>
      </c>
      <c r="AW9" s="9">
        <v>1</v>
      </c>
      <c r="AX9" s="9">
        <v>6</v>
      </c>
      <c r="AY9" s="9">
        <v>7</v>
      </c>
      <c r="AZ9" s="9">
        <v>47.97</v>
      </c>
      <c r="BA9" s="9">
        <v>39.19</v>
      </c>
      <c r="BB9" s="9">
        <v>62</v>
      </c>
      <c r="BC9" s="9">
        <v>41.3</v>
      </c>
      <c r="BD9" s="9">
        <v>40.72</v>
      </c>
      <c r="BE9" s="9">
        <v>37.29</v>
      </c>
      <c r="BF9" s="9">
        <v>56.17</v>
      </c>
      <c r="BG9" s="9">
        <v>56.1</v>
      </c>
      <c r="BH9" s="9">
        <v>44.28</v>
      </c>
      <c r="BI9" s="9">
        <v>50.81</v>
      </c>
      <c r="BJ9" s="9">
        <v>1</v>
      </c>
      <c r="BK9" s="9">
        <v>1</v>
      </c>
      <c r="BL9" s="9">
        <v>1</v>
      </c>
      <c r="BM9" s="9">
        <v>0</v>
      </c>
      <c r="BN9" s="9">
        <v>0</v>
      </c>
      <c r="BO9" s="9">
        <v>1</v>
      </c>
      <c r="BP9" s="9">
        <v>0</v>
      </c>
      <c r="BQ9" s="9">
        <v>1</v>
      </c>
      <c r="BR9" s="9">
        <v>0</v>
      </c>
      <c r="BS9" s="9">
        <v>1</v>
      </c>
      <c r="BT9" s="9">
        <v>1</v>
      </c>
      <c r="BU9" s="9">
        <v>0</v>
      </c>
      <c r="BV9" s="9">
        <v>1</v>
      </c>
      <c r="BW9" s="9">
        <v>0</v>
      </c>
      <c r="BX9" s="9">
        <v>2</v>
      </c>
      <c r="BY9" s="9">
        <v>0</v>
      </c>
      <c r="BZ9" s="9">
        <v>9</v>
      </c>
      <c r="CA9" s="9">
        <v>2</v>
      </c>
      <c r="CB9" s="9">
        <v>48</v>
      </c>
      <c r="CC9" s="9">
        <v>63</v>
      </c>
      <c r="CD9" s="9">
        <v>68</v>
      </c>
      <c r="CE9" s="9">
        <v>58</v>
      </c>
      <c r="CF9" s="9">
        <v>59</v>
      </c>
      <c r="CG9" s="9">
        <v>61</v>
      </c>
      <c r="CH9" s="14">
        <v>0.20689655172413801</v>
      </c>
      <c r="CI9" s="9">
        <v>22</v>
      </c>
      <c r="CJ9" s="9">
        <v>23</v>
      </c>
      <c r="CK9" s="9">
        <v>24</v>
      </c>
      <c r="CL9" s="9">
        <v>18</v>
      </c>
      <c r="CM9" s="9">
        <v>27</v>
      </c>
      <c r="CN9" s="9">
        <v>15</v>
      </c>
      <c r="CO9" s="9"/>
      <c r="CP9" s="16">
        <v>1</v>
      </c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</row>
    <row r="10" spans="1:113" ht="16" x14ac:dyDescent="0.2">
      <c r="A10" s="9">
        <v>890012</v>
      </c>
      <c r="B10" s="9">
        <v>0</v>
      </c>
      <c r="C10" s="9" t="s">
        <v>131</v>
      </c>
      <c r="D10" s="9">
        <v>1</v>
      </c>
      <c r="E10" s="9">
        <v>11.19791</v>
      </c>
      <c r="F10" s="9">
        <v>0.93501999999999996</v>
      </c>
      <c r="G10" s="9">
        <v>54.1</v>
      </c>
      <c r="H10" s="9">
        <v>65.3</v>
      </c>
      <c r="I10" s="9">
        <v>2.9735100000000001</v>
      </c>
      <c r="J10" s="9">
        <v>0.80247000000000002</v>
      </c>
      <c r="K10" s="9">
        <v>2.307E-2</v>
      </c>
      <c r="L10" s="9">
        <v>2.3142999999999998</v>
      </c>
      <c r="M10" s="15">
        <v>1.4245000000000001E-2</v>
      </c>
      <c r="N10" s="9">
        <v>351.2</v>
      </c>
      <c r="O10" s="9">
        <v>0</v>
      </c>
      <c r="P10" s="9">
        <v>59</v>
      </c>
      <c r="Q10" s="9">
        <v>1</v>
      </c>
      <c r="R10" s="9" t="s">
        <v>132</v>
      </c>
      <c r="S10" s="9">
        <v>28</v>
      </c>
      <c r="T10" s="9"/>
      <c r="U10" s="9">
        <v>0</v>
      </c>
      <c r="V10" s="9">
        <v>0</v>
      </c>
      <c r="W10" s="9">
        <v>0</v>
      </c>
      <c r="X10" s="9">
        <v>14</v>
      </c>
      <c r="Y10" s="9">
        <v>7</v>
      </c>
      <c r="Z10" s="9">
        <v>14</v>
      </c>
      <c r="AA10" s="9">
        <v>12</v>
      </c>
      <c r="AB10" s="9">
        <v>10</v>
      </c>
      <c r="AC10" s="9">
        <v>57</v>
      </c>
      <c r="AD10" s="9">
        <v>8</v>
      </c>
      <c r="AE10" s="9">
        <v>4</v>
      </c>
      <c r="AF10" s="9">
        <v>6</v>
      </c>
      <c r="AG10" s="9">
        <v>4</v>
      </c>
      <c r="AH10" s="9">
        <v>4</v>
      </c>
      <c r="AI10" s="9">
        <v>26</v>
      </c>
      <c r="AJ10" s="9"/>
      <c r="AK10" s="9"/>
      <c r="AL10" s="9">
        <v>40.5</v>
      </c>
      <c r="AM10" s="9">
        <v>40.700000000000003</v>
      </c>
      <c r="AN10" s="9">
        <v>43</v>
      </c>
      <c r="AO10" s="9">
        <v>48.5</v>
      </c>
      <c r="AP10" s="9">
        <v>45.4</v>
      </c>
      <c r="AQ10" s="9">
        <v>45.6</v>
      </c>
      <c r="AR10" s="9">
        <v>37.1</v>
      </c>
      <c r="AS10" s="9">
        <v>37.1</v>
      </c>
      <c r="AT10" s="9">
        <v>57.7</v>
      </c>
      <c r="AU10" s="9">
        <v>67.599999999999994</v>
      </c>
      <c r="AV10" s="9">
        <v>0</v>
      </c>
      <c r="AW10" s="9">
        <v>4</v>
      </c>
      <c r="AX10" s="9">
        <v>2</v>
      </c>
      <c r="AY10" s="9">
        <v>6</v>
      </c>
      <c r="AZ10" s="9">
        <v>57.54</v>
      </c>
      <c r="BA10" s="9">
        <v>57.16</v>
      </c>
      <c r="BB10" s="9">
        <v>55.55</v>
      </c>
      <c r="BC10" s="9">
        <v>66.5</v>
      </c>
      <c r="BD10" s="9">
        <v>67.45</v>
      </c>
      <c r="BE10" s="9">
        <v>57.34</v>
      </c>
      <c r="BF10" s="9">
        <v>56.17</v>
      </c>
      <c r="BG10" s="9">
        <v>63.95</v>
      </c>
      <c r="BH10" s="9">
        <v>57.77</v>
      </c>
      <c r="BI10" s="9">
        <v>62.12</v>
      </c>
      <c r="BJ10" s="9">
        <v>1</v>
      </c>
      <c r="BK10" s="9">
        <v>0</v>
      </c>
      <c r="BL10" s="9">
        <v>1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2</v>
      </c>
      <c r="BW10" s="9">
        <v>0</v>
      </c>
      <c r="BX10" s="9">
        <v>0</v>
      </c>
      <c r="BY10" s="9">
        <v>1</v>
      </c>
      <c r="BZ10" s="9">
        <v>4</v>
      </c>
      <c r="CA10" s="9">
        <v>2</v>
      </c>
      <c r="CB10" s="9">
        <v>55</v>
      </c>
      <c r="CC10" s="9">
        <v>60</v>
      </c>
      <c r="CD10" s="9">
        <v>53</v>
      </c>
      <c r="CE10" s="9">
        <v>57</v>
      </c>
      <c r="CF10" s="9">
        <v>59</v>
      </c>
      <c r="CG10" s="9">
        <v>58</v>
      </c>
      <c r="CH10" s="14">
        <v>0.29411764705882404</v>
      </c>
      <c r="CI10" s="9">
        <v>32</v>
      </c>
      <c r="CJ10" s="9">
        <v>34</v>
      </c>
      <c r="CK10" s="9">
        <v>34</v>
      </c>
      <c r="CL10" s="9">
        <v>36</v>
      </c>
      <c r="CM10" s="9">
        <v>48.37</v>
      </c>
      <c r="CN10" s="9">
        <v>65.84</v>
      </c>
      <c r="CO10" s="9">
        <v>0</v>
      </c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</row>
    <row r="11" spans="1:113" ht="16" x14ac:dyDescent="0.2">
      <c r="A11" s="9">
        <v>890018</v>
      </c>
      <c r="B11" s="9">
        <v>1</v>
      </c>
      <c r="C11" s="9" t="s">
        <v>131</v>
      </c>
      <c r="D11" s="9">
        <v>1</v>
      </c>
      <c r="E11" s="9">
        <v>12.28824</v>
      </c>
      <c r="F11" s="9">
        <v>1.16568</v>
      </c>
      <c r="G11" s="9">
        <v>51.7</v>
      </c>
      <c r="H11" s="9">
        <v>64</v>
      </c>
      <c r="I11" s="9">
        <v>3.7258900000000001</v>
      </c>
      <c r="J11" s="9">
        <v>1.1234200000000001</v>
      </c>
      <c r="K11" s="9">
        <v>3.5290000000000002E-2</v>
      </c>
      <c r="L11" s="9">
        <v>2.3235299999999999</v>
      </c>
      <c r="M11" s="9">
        <v>8.0589999999999995E-2</v>
      </c>
      <c r="N11" s="9">
        <v>354.2</v>
      </c>
      <c r="O11" s="9">
        <v>1</v>
      </c>
      <c r="P11" s="9">
        <v>44</v>
      </c>
      <c r="Q11" s="9">
        <v>1</v>
      </c>
      <c r="R11" s="9" t="s">
        <v>93</v>
      </c>
      <c r="S11" s="9">
        <v>33</v>
      </c>
      <c r="T11" s="9">
        <v>11</v>
      </c>
      <c r="U11" s="9">
        <v>1</v>
      </c>
      <c r="V11" s="9">
        <v>1</v>
      </c>
      <c r="W11" s="9">
        <v>1</v>
      </c>
      <c r="X11" s="9">
        <v>18</v>
      </c>
      <c r="Y11" s="9">
        <v>9</v>
      </c>
      <c r="Z11" s="9">
        <v>20</v>
      </c>
      <c r="AA11" s="9">
        <v>16</v>
      </c>
      <c r="AB11" s="9">
        <v>21</v>
      </c>
      <c r="AC11" s="9">
        <v>84</v>
      </c>
      <c r="AD11" s="9">
        <v>18</v>
      </c>
      <c r="AE11" s="9">
        <v>16</v>
      </c>
      <c r="AF11" s="9">
        <v>15</v>
      </c>
      <c r="AG11" s="9">
        <v>10</v>
      </c>
      <c r="AH11" s="9">
        <v>15</v>
      </c>
      <c r="AI11" s="9">
        <v>74</v>
      </c>
      <c r="AJ11" s="9">
        <v>12</v>
      </c>
      <c r="AK11" s="9">
        <v>2</v>
      </c>
      <c r="AL11" s="9">
        <v>45.7</v>
      </c>
      <c r="AM11" s="9">
        <v>57.7</v>
      </c>
      <c r="AN11" s="9">
        <v>62.5</v>
      </c>
      <c r="AO11" s="9">
        <v>58.3</v>
      </c>
      <c r="AP11" s="9">
        <v>60.9</v>
      </c>
      <c r="AQ11" s="9">
        <v>53.9</v>
      </c>
      <c r="AR11" s="9">
        <v>48.1</v>
      </c>
      <c r="AS11" s="9">
        <v>46</v>
      </c>
      <c r="AT11" s="9">
        <v>39.799999999999997</v>
      </c>
      <c r="AU11" s="9">
        <v>41.1</v>
      </c>
      <c r="AV11" s="9">
        <v>21</v>
      </c>
      <c r="AW11" s="9">
        <v>6</v>
      </c>
      <c r="AX11" s="9">
        <v>7</v>
      </c>
      <c r="AY11" s="9">
        <v>13</v>
      </c>
      <c r="AZ11" s="9">
        <v>44.15</v>
      </c>
      <c r="BA11" s="9">
        <v>27.96</v>
      </c>
      <c r="BB11" s="9">
        <v>34.18</v>
      </c>
      <c r="BC11" s="9">
        <v>30.84</v>
      </c>
      <c r="BD11" s="9">
        <v>34.770000000000003</v>
      </c>
      <c r="BE11" s="9">
        <v>47.31</v>
      </c>
      <c r="BF11" s="9">
        <v>56.17</v>
      </c>
      <c r="BG11" s="9">
        <v>53.48</v>
      </c>
      <c r="BH11" s="9">
        <v>27.6</v>
      </c>
      <c r="BI11" s="9">
        <v>55.97</v>
      </c>
      <c r="BJ11" s="9">
        <v>1.8</v>
      </c>
      <c r="BK11" s="9">
        <v>2</v>
      </c>
      <c r="BL11" s="9">
        <v>2</v>
      </c>
      <c r="BM11" s="9">
        <v>2</v>
      </c>
      <c r="BN11" s="9">
        <v>2</v>
      </c>
      <c r="BO11" s="9">
        <v>2</v>
      </c>
      <c r="BP11" s="9">
        <v>1</v>
      </c>
      <c r="BQ11" s="9">
        <v>1</v>
      </c>
      <c r="BR11" s="9">
        <v>0</v>
      </c>
      <c r="BS11" s="9">
        <v>1</v>
      </c>
      <c r="BT11" s="9">
        <v>1</v>
      </c>
      <c r="BU11" s="9">
        <v>0</v>
      </c>
      <c r="BV11" s="9">
        <v>2</v>
      </c>
      <c r="BW11" s="9">
        <v>2</v>
      </c>
      <c r="BX11" s="9">
        <v>2</v>
      </c>
      <c r="BY11" s="9">
        <v>1</v>
      </c>
      <c r="BZ11" s="9">
        <v>21</v>
      </c>
      <c r="CA11" s="9">
        <v>5</v>
      </c>
      <c r="CB11" s="9">
        <v>62</v>
      </c>
      <c r="CC11" s="9">
        <v>42</v>
      </c>
      <c r="CD11" s="9">
        <v>47</v>
      </c>
      <c r="CE11" s="9">
        <v>53</v>
      </c>
      <c r="CF11" s="9">
        <v>58</v>
      </c>
      <c r="CG11" s="9">
        <v>51</v>
      </c>
      <c r="CH11" s="14">
        <v>0.24528301886792503</v>
      </c>
      <c r="CI11" s="9">
        <v>38</v>
      </c>
      <c r="CJ11" s="9">
        <v>30</v>
      </c>
      <c r="CK11" s="9">
        <v>38</v>
      </c>
      <c r="CL11" s="9">
        <v>29</v>
      </c>
      <c r="CM11" s="9">
        <v>36.700000000000003</v>
      </c>
      <c r="CN11" s="9">
        <v>33.76</v>
      </c>
      <c r="CO11" s="9"/>
      <c r="CP11" s="17">
        <v>0</v>
      </c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</row>
    <row r="12" spans="1:113" ht="16" x14ac:dyDescent="0.2">
      <c r="A12" s="9">
        <v>890019</v>
      </c>
      <c r="B12" s="9">
        <v>1</v>
      </c>
      <c r="C12" s="9" t="s">
        <v>131</v>
      </c>
      <c r="D12" s="9">
        <v>1</v>
      </c>
      <c r="E12" s="9">
        <v>6.0823499999999999</v>
      </c>
      <c r="F12" s="9">
        <v>0.44969999999999999</v>
      </c>
      <c r="G12" s="9">
        <v>40.6</v>
      </c>
      <c r="H12" s="9">
        <v>46.7</v>
      </c>
      <c r="I12" s="9">
        <v>2.2690399999999999</v>
      </c>
      <c r="J12" s="9">
        <v>0.81962000000000002</v>
      </c>
      <c r="K12" s="9">
        <v>3.5290000000000002E-2</v>
      </c>
      <c r="L12" s="9">
        <v>2.3294100000000002</v>
      </c>
      <c r="M12" s="9">
        <v>0.12820999999999999</v>
      </c>
      <c r="N12" s="9">
        <v>306.5</v>
      </c>
      <c r="O12" s="9">
        <v>1</v>
      </c>
      <c r="P12" s="9">
        <v>23</v>
      </c>
      <c r="Q12" s="9">
        <v>1</v>
      </c>
      <c r="R12" s="9" t="s">
        <v>93</v>
      </c>
      <c r="S12" s="9">
        <v>23.1</v>
      </c>
      <c r="T12" s="9">
        <v>20</v>
      </c>
      <c r="U12" s="9">
        <v>1</v>
      </c>
      <c r="V12" s="9">
        <v>1</v>
      </c>
      <c r="W12" s="9">
        <v>1</v>
      </c>
      <c r="X12" s="9">
        <v>16</v>
      </c>
      <c r="Y12" s="9">
        <v>8</v>
      </c>
      <c r="Z12" s="9">
        <v>16</v>
      </c>
      <c r="AA12" s="9">
        <v>12</v>
      </c>
      <c r="AB12" s="9">
        <v>22</v>
      </c>
      <c r="AC12" s="9">
        <v>74</v>
      </c>
      <c r="AD12" s="9">
        <v>17</v>
      </c>
      <c r="AE12" s="9">
        <v>19</v>
      </c>
      <c r="AF12" s="9">
        <v>14</v>
      </c>
      <c r="AG12" s="9">
        <v>6</v>
      </c>
      <c r="AH12" s="9">
        <v>11</v>
      </c>
      <c r="AI12" s="9">
        <v>67</v>
      </c>
      <c r="AJ12" s="9">
        <v>31</v>
      </c>
      <c r="AK12" s="9">
        <v>5</v>
      </c>
      <c r="AL12" s="9">
        <v>45.7</v>
      </c>
      <c r="AM12" s="9">
        <v>58.1</v>
      </c>
      <c r="AN12" s="9">
        <v>69</v>
      </c>
      <c r="AO12" s="9">
        <v>56.8</v>
      </c>
      <c r="AP12" s="9">
        <v>52.1</v>
      </c>
      <c r="AQ12" s="9">
        <v>53.7</v>
      </c>
      <c r="AR12" s="9">
        <v>48.3</v>
      </c>
      <c r="AS12" s="9">
        <v>49.6</v>
      </c>
      <c r="AT12" s="9">
        <v>29.6</v>
      </c>
      <c r="AU12" s="9">
        <v>41.1</v>
      </c>
      <c r="AV12" s="9">
        <v>12</v>
      </c>
      <c r="AW12" s="9">
        <v>8</v>
      </c>
      <c r="AX12" s="9">
        <v>9</v>
      </c>
      <c r="AY12" s="9">
        <v>17</v>
      </c>
      <c r="AZ12" s="9">
        <v>32.659999999999997</v>
      </c>
      <c r="BA12" s="9">
        <v>36.950000000000003</v>
      </c>
      <c r="BB12" s="9">
        <v>46.68</v>
      </c>
      <c r="BC12" s="9">
        <v>26.08</v>
      </c>
      <c r="BD12" s="9">
        <v>37.74</v>
      </c>
      <c r="BE12" s="9">
        <v>27.26</v>
      </c>
      <c r="BF12" s="9">
        <v>56.17</v>
      </c>
      <c r="BG12" s="9">
        <v>53.48</v>
      </c>
      <c r="BH12" s="9">
        <v>28.91</v>
      </c>
      <c r="BI12" s="9">
        <v>51.67</v>
      </c>
      <c r="BJ12" s="9">
        <v>1.2</v>
      </c>
      <c r="BK12" s="9">
        <v>1</v>
      </c>
      <c r="BL12" s="9">
        <v>0</v>
      </c>
      <c r="BM12" s="9">
        <v>2</v>
      </c>
      <c r="BN12" s="9">
        <v>1</v>
      </c>
      <c r="BO12" s="9">
        <v>2</v>
      </c>
      <c r="BP12" s="9">
        <v>2</v>
      </c>
      <c r="BQ12" s="9">
        <v>2</v>
      </c>
      <c r="BR12" s="9">
        <v>0</v>
      </c>
      <c r="BS12" s="9">
        <v>2</v>
      </c>
      <c r="BT12" s="9">
        <v>2</v>
      </c>
      <c r="BU12" s="9">
        <v>0</v>
      </c>
      <c r="BV12" s="9">
        <v>0</v>
      </c>
      <c r="BW12" s="9">
        <v>2</v>
      </c>
      <c r="BX12" s="9">
        <v>2</v>
      </c>
      <c r="BY12" s="9">
        <v>1</v>
      </c>
      <c r="BZ12" s="9">
        <v>19</v>
      </c>
      <c r="CA12" s="9">
        <v>7</v>
      </c>
      <c r="CB12" s="9">
        <v>55</v>
      </c>
      <c r="CC12" s="9">
        <v>49</v>
      </c>
      <c r="CD12" s="9">
        <v>62</v>
      </c>
      <c r="CE12" s="9">
        <v>56</v>
      </c>
      <c r="CF12" s="9">
        <v>57</v>
      </c>
      <c r="CG12" s="9">
        <v>49</v>
      </c>
      <c r="CH12" s="14">
        <v>0.38636363636363596</v>
      </c>
      <c r="CI12" s="9">
        <v>36</v>
      </c>
      <c r="CJ12" s="9">
        <v>36</v>
      </c>
      <c r="CK12" s="9">
        <v>32</v>
      </c>
      <c r="CL12" s="9">
        <v>30</v>
      </c>
      <c r="CM12" s="9">
        <v>14.6</v>
      </c>
      <c r="CN12" s="9"/>
      <c r="CO12" s="9">
        <v>1</v>
      </c>
      <c r="CP12" s="9">
        <v>1</v>
      </c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</row>
    <row r="13" spans="1:113" ht="16" x14ac:dyDescent="0.2">
      <c r="A13" s="9">
        <v>890020</v>
      </c>
      <c r="B13" s="9">
        <v>1</v>
      </c>
      <c r="C13" s="9" t="s">
        <v>131</v>
      </c>
      <c r="D13" s="9">
        <v>1</v>
      </c>
      <c r="E13" s="9">
        <v>7.3023899999999999</v>
      </c>
      <c r="F13" s="9">
        <v>2.2133699999999998</v>
      </c>
      <c r="G13" s="9">
        <v>47.6</v>
      </c>
      <c r="H13" s="9">
        <v>54.9</v>
      </c>
      <c r="I13" s="9">
        <v>2.77047</v>
      </c>
      <c r="J13" s="9">
        <v>0.72128000000000003</v>
      </c>
      <c r="K13" s="9">
        <v>0.14036999999999999</v>
      </c>
      <c r="L13" s="9">
        <v>3.0557799999999999</v>
      </c>
      <c r="M13" s="9">
        <v>8.5199999999999998E-2</v>
      </c>
      <c r="N13" s="9">
        <v>316.10000000000002</v>
      </c>
      <c r="O13" s="9">
        <v>1</v>
      </c>
      <c r="P13" s="9">
        <v>25</v>
      </c>
      <c r="Q13" s="9">
        <v>0</v>
      </c>
      <c r="R13" s="9" t="s">
        <v>93</v>
      </c>
      <c r="S13" s="9">
        <v>17.600000000000001</v>
      </c>
      <c r="T13" s="9">
        <v>16</v>
      </c>
      <c r="U13" s="9">
        <v>1</v>
      </c>
      <c r="V13" s="9">
        <v>0</v>
      </c>
      <c r="W13" s="9">
        <v>0</v>
      </c>
      <c r="X13" s="9">
        <v>21</v>
      </c>
      <c r="Y13" s="9">
        <v>10</v>
      </c>
      <c r="Z13" s="9">
        <v>23</v>
      </c>
      <c r="AA13" s="9">
        <v>14</v>
      </c>
      <c r="AB13" s="9">
        <v>22</v>
      </c>
      <c r="AC13" s="9">
        <v>90</v>
      </c>
      <c r="AD13" s="9">
        <v>16</v>
      </c>
      <c r="AE13" s="9">
        <v>18</v>
      </c>
      <c r="AF13" s="9">
        <v>16</v>
      </c>
      <c r="AG13" s="9">
        <v>14</v>
      </c>
      <c r="AH13" s="9">
        <v>17</v>
      </c>
      <c r="AI13" s="9">
        <v>81</v>
      </c>
      <c r="AJ13" s="9">
        <v>31</v>
      </c>
      <c r="AK13" s="9">
        <v>6</v>
      </c>
      <c r="AL13" s="9">
        <v>40.799999999999997</v>
      </c>
      <c r="AM13" s="9">
        <v>56.9</v>
      </c>
      <c r="AN13" s="9">
        <v>65.3</v>
      </c>
      <c r="AO13" s="9">
        <v>64.099999999999994</v>
      </c>
      <c r="AP13" s="9">
        <v>52.1</v>
      </c>
      <c r="AQ13" s="9">
        <v>49.1</v>
      </c>
      <c r="AR13" s="9">
        <v>47.9</v>
      </c>
      <c r="AS13" s="9">
        <v>50.3</v>
      </c>
      <c r="AT13" s="9">
        <v>39.799999999999997</v>
      </c>
      <c r="AU13" s="9">
        <v>38.799999999999997</v>
      </c>
      <c r="AV13" s="9">
        <v>0</v>
      </c>
      <c r="AW13" s="9">
        <v>19</v>
      </c>
      <c r="AX13" s="9">
        <v>7</v>
      </c>
      <c r="AY13" s="9">
        <v>26</v>
      </c>
      <c r="AZ13" s="9">
        <v>32.659999999999997</v>
      </c>
      <c r="BA13" s="9">
        <v>25.72</v>
      </c>
      <c r="BB13" s="9">
        <v>38.21</v>
      </c>
      <c r="BC13" s="9">
        <v>37.97</v>
      </c>
      <c r="BD13" s="9">
        <v>37.74</v>
      </c>
      <c r="BE13" s="9">
        <v>27.26</v>
      </c>
      <c r="BF13" s="9">
        <v>56.17</v>
      </c>
      <c r="BG13" s="9">
        <v>48.25</v>
      </c>
      <c r="BH13" s="9">
        <v>26.39</v>
      </c>
      <c r="BI13" s="9">
        <v>51.15</v>
      </c>
      <c r="BJ13" s="9">
        <v>1</v>
      </c>
      <c r="BK13" s="9">
        <v>0</v>
      </c>
      <c r="BL13" s="9">
        <v>1</v>
      </c>
      <c r="BM13" s="9">
        <v>0</v>
      </c>
      <c r="BN13" s="9"/>
      <c r="BO13" s="9">
        <v>1</v>
      </c>
      <c r="BP13" s="9">
        <v>0</v>
      </c>
      <c r="BQ13" s="9">
        <v>1</v>
      </c>
      <c r="BR13" s="9">
        <v>0</v>
      </c>
      <c r="BS13" s="9">
        <v>0</v>
      </c>
      <c r="BT13" s="9">
        <v>1</v>
      </c>
      <c r="BU13" s="9">
        <v>0</v>
      </c>
      <c r="BV13" s="9">
        <v>0</v>
      </c>
      <c r="BW13" s="9">
        <v>0</v>
      </c>
      <c r="BX13" s="9">
        <v>2</v>
      </c>
      <c r="BY13" s="9">
        <v>0</v>
      </c>
      <c r="BZ13" s="9">
        <v>6</v>
      </c>
      <c r="CA13" s="9">
        <v>3</v>
      </c>
      <c r="CB13" s="9"/>
      <c r="CC13" s="9"/>
      <c r="CD13" s="9"/>
      <c r="CE13" s="9"/>
      <c r="CF13" s="9"/>
      <c r="CG13" s="9"/>
      <c r="CH13" s="9"/>
      <c r="CI13" s="9">
        <v>40</v>
      </c>
      <c r="CJ13" s="9">
        <v>44</v>
      </c>
      <c r="CK13" s="9">
        <v>42</v>
      </c>
      <c r="CL13" s="9">
        <v>42</v>
      </c>
      <c r="CM13" s="9">
        <v>19.7</v>
      </c>
      <c r="CN13" s="9">
        <v>24.4</v>
      </c>
      <c r="CO13" s="9">
        <v>0</v>
      </c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</row>
    <row r="14" spans="1:113" ht="16" x14ac:dyDescent="0.2">
      <c r="A14" s="9">
        <v>890021</v>
      </c>
      <c r="B14" s="9">
        <v>1</v>
      </c>
      <c r="C14" s="9" t="s">
        <v>131</v>
      </c>
      <c r="D14" s="9">
        <v>1</v>
      </c>
      <c r="E14" s="9">
        <v>4.7954999999999997</v>
      </c>
      <c r="F14" s="9">
        <v>0.33300999999999997</v>
      </c>
      <c r="G14" s="9">
        <v>30.4</v>
      </c>
      <c r="H14" s="9">
        <v>35.200000000000003</v>
      </c>
      <c r="I14" s="9">
        <v>3.05654</v>
      </c>
      <c r="J14" s="9">
        <v>1.04172</v>
      </c>
      <c r="K14" s="15">
        <v>3.2679738562091504E-3</v>
      </c>
      <c r="L14" s="9">
        <v>0.69399999999999995</v>
      </c>
      <c r="M14" s="15">
        <v>1.4245000000000001E-2</v>
      </c>
      <c r="N14" s="9">
        <v>70.900000000000006</v>
      </c>
      <c r="O14" s="9">
        <v>1</v>
      </c>
      <c r="P14" s="9">
        <v>44</v>
      </c>
      <c r="Q14" s="9">
        <v>0</v>
      </c>
      <c r="R14" s="9" t="s">
        <v>93</v>
      </c>
      <c r="S14" s="9">
        <v>22.6</v>
      </c>
      <c r="T14" s="9">
        <v>28</v>
      </c>
      <c r="U14" s="9">
        <v>0</v>
      </c>
      <c r="V14" s="9">
        <v>0</v>
      </c>
      <c r="W14" s="9">
        <v>0</v>
      </c>
      <c r="X14" s="9">
        <v>22</v>
      </c>
      <c r="Y14" s="9">
        <v>7</v>
      </c>
      <c r="Z14" s="9">
        <v>24</v>
      </c>
      <c r="AA14" s="9">
        <v>15</v>
      </c>
      <c r="AB14" s="9">
        <v>26</v>
      </c>
      <c r="AC14" s="9">
        <v>94</v>
      </c>
      <c r="AD14" s="9">
        <v>20</v>
      </c>
      <c r="AE14" s="9">
        <v>19</v>
      </c>
      <c r="AF14" s="9">
        <v>20</v>
      </c>
      <c r="AG14" s="9">
        <v>14</v>
      </c>
      <c r="AH14" s="9">
        <v>18</v>
      </c>
      <c r="AI14" s="9">
        <v>91</v>
      </c>
      <c r="AJ14" s="9">
        <v>45</v>
      </c>
      <c r="AK14" s="9">
        <v>1</v>
      </c>
      <c r="AL14" s="9">
        <v>60.6</v>
      </c>
      <c r="AM14" s="9">
        <v>40.700000000000003</v>
      </c>
      <c r="AN14" s="9">
        <v>72</v>
      </c>
      <c r="AO14" s="9">
        <v>64.099999999999994</v>
      </c>
      <c r="AP14" s="9">
        <v>61.7</v>
      </c>
      <c r="AQ14" s="9">
        <v>65.5</v>
      </c>
      <c r="AR14" s="9">
        <v>54.4</v>
      </c>
      <c r="AS14" s="9">
        <v>53.6</v>
      </c>
      <c r="AT14" s="9">
        <v>32.4</v>
      </c>
      <c r="AU14" s="9">
        <v>38.799999999999997</v>
      </c>
      <c r="AV14" s="9">
        <v>65</v>
      </c>
      <c r="AW14" s="9">
        <v>6</v>
      </c>
      <c r="AX14" s="9">
        <v>10</v>
      </c>
      <c r="AY14" s="9">
        <v>16</v>
      </c>
      <c r="AZ14" s="9">
        <v>38.4</v>
      </c>
      <c r="BA14" s="9">
        <v>30.21</v>
      </c>
      <c r="BB14" s="9">
        <v>30.55</v>
      </c>
      <c r="BC14" s="9">
        <v>33.22</v>
      </c>
      <c r="BD14" s="9">
        <v>25.86</v>
      </c>
      <c r="BE14" s="9">
        <v>37.29</v>
      </c>
      <c r="BF14" s="9">
        <v>56.17</v>
      </c>
      <c r="BG14" s="9">
        <v>50.87</v>
      </c>
      <c r="BH14" s="9">
        <v>25.79</v>
      </c>
      <c r="BI14" s="9">
        <v>51.27</v>
      </c>
      <c r="BJ14" s="9">
        <v>2.6</v>
      </c>
      <c r="BK14" s="9">
        <v>2</v>
      </c>
      <c r="BL14" s="9">
        <v>1</v>
      </c>
      <c r="BM14" s="9">
        <v>1</v>
      </c>
      <c r="BN14" s="9"/>
      <c r="BO14" s="9">
        <v>2</v>
      </c>
      <c r="BP14" s="9">
        <v>2</v>
      </c>
      <c r="BQ14" s="9">
        <v>1</v>
      </c>
      <c r="BR14" s="9">
        <v>0</v>
      </c>
      <c r="BS14" s="9">
        <v>1</v>
      </c>
      <c r="BT14" s="9">
        <v>2</v>
      </c>
      <c r="BU14" s="9">
        <v>0</v>
      </c>
      <c r="BV14" s="9">
        <v>2</v>
      </c>
      <c r="BW14" s="9">
        <v>1</v>
      </c>
      <c r="BX14" s="9">
        <v>2</v>
      </c>
      <c r="BY14" s="9">
        <v>2</v>
      </c>
      <c r="BZ14" s="9">
        <v>19</v>
      </c>
      <c r="CA14" s="9">
        <v>15</v>
      </c>
      <c r="CB14" s="9">
        <v>60</v>
      </c>
      <c r="CC14" s="9">
        <v>48</v>
      </c>
      <c r="CD14" s="9">
        <v>51</v>
      </c>
      <c r="CE14" s="9">
        <v>53</v>
      </c>
      <c r="CF14" s="9">
        <v>42</v>
      </c>
      <c r="CG14" s="9">
        <v>37</v>
      </c>
      <c r="CH14" s="14">
        <v>0.35294117647058798</v>
      </c>
      <c r="CI14" s="9">
        <v>61</v>
      </c>
      <c r="CJ14" s="9">
        <v>66</v>
      </c>
      <c r="CK14" s="9">
        <v>58</v>
      </c>
      <c r="CL14" s="9">
        <v>63</v>
      </c>
      <c r="CM14" s="9">
        <v>13.7</v>
      </c>
      <c r="CN14" s="9">
        <v>22.8</v>
      </c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</row>
    <row r="15" spans="1:113" ht="16" x14ac:dyDescent="0.2">
      <c r="A15" s="9">
        <v>890023</v>
      </c>
      <c r="B15" s="9">
        <v>1</v>
      </c>
      <c r="C15" s="9" t="s">
        <v>131</v>
      </c>
      <c r="D15" s="9">
        <v>1</v>
      </c>
      <c r="E15" s="9">
        <v>8.8823500000000006</v>
      </c>
      <c r="F15" s="9">
        <v>1.1479299999999999</v>
      </c>
      <c r="G15" s="9">
        <v>44.6</v>
      </c>
      <c r="H15" s="9">
        <v>53.5</v>
      </c>
      <c r="I15" s="9">
        <v>3.13706</v>
      </c>
      <c r="J15" s="9">
        <v>0.65190000000000003</v>
      </c>
      <c r="K15" s="9">
        <v>0.10588</v>
      </c>
      <c r="L15" s="9">
        <v>3.42353</v>
      </c>
      <c r="M15" s="9">
        <v>4.3959999999999999E-2</v>
      </c>
      <c r="N15" s="9">
        <v>390.2</v>
      </c>
      <c r="O15" s="9">
        <v>0</v>
      </c>
      <c r="P15" s="9">
        <v>61</v>
      </c>
      <c r="Q15" s="9">
        <v>1</v>
      </c>
      <c r="R15" s="9" t="s">
        <v>93</v>
      </c>
      <c r="S15" s="9">
        <v>24.2</v>
      </c>
      <c r="T15" s="9">
        <v>8</v>
      </c>
      <c r="U15" s="9">
        <v>1</v>
      </c>
      <c r="V15" s="9">
        <v>1</v>
      </c>
      <c r="W15" s="9">
        <v>1</v>
      </c>
      <c r="X15" s="9">
        <v>21</v>
      </c>
      <c r="Y15" s="9">
        <v>14</v>
      </c>
      <c r="Z15" s="9">
        <v>22</v>
      </c>
      <c r="AA15" s="9">
        <v>17</v>
      </c>
      <c r="AB15" s="9">
        <v>22</v>
      </c>
      <c r="AC15" s="9">
        <v>96</v>
      </c>
      <c r="AD15" s="9">
        <v>20</v>
      </c>
      <c r="AE15" s="9">
        <v>20</v>
      </c>
      <c r="AF15" s="9">
        <v>20</v>
      </c>
      <c r="AG15" s="9">
        <v>18</v>
      </c>
      <c r="AH15" s="9">
        <v>15</v>
      </c>
      <c r="AI15" s="9">
        <v>93</v>
      </c>
      <c r="AJ15" s="9">
        <v>25</v>
      </c>
      <c r="AK15" s="9">
        <v>4</v>
      </c>
      <c r="AL15" s="9">
        <v>49.9</v>
      </c>
      <c r="AM15" s="9">
        <v>70.5</v>
      </c>
      <c r="AN15" s="9">
        <v>70.2</v>
      </c>
      <c r="AO15" s="9">
        <v>67.2</v>
      </c>
      <c r="AP15" s="9">
        <v>64.7</v>
      </c>
      <c r="AQ15" s="9">
        <v>61.9</v>
      </c>
      <c r="AR15" s="9">
        <v>62.4</v>
      </c>
      <c r="AS15" s="9">
        <v>61.7</v>
      </c>
      <c r="AT15" s="9">
        <v>26.7</v>
      </c>
      <c r="AU15" s="9">
        <v>36.299999999999997</v>
      </c>
      <c r="AV15" s="9">
        <v>23</v>
      </c>
      <c r="AW15" s="9">
        <v>4</v>
      </c>
      <c r="AX15" s="9">
        <v>9</v>
      </c>
      <c r="AY15" s="9">
        <v>13</v>
      </c>
      <c r="AZ15" s="9">
        <v>28.83</v>
      </c>
      <c r="BA15" s="9">
        <v>30.21</v>
      </c>
      <c r="BB15" s="9">
        <v>38.21</v>
      </c>
      <c r="BC15" s="9">
        <v>42.73</v>
      </c>
      <c r="BD15" s="9">
        <v>34.770000000000003</v>
      </c>
      <c r="BE15" s="9">
        <v>27.26</v>
      </c>
      <c r="BF15" s="9">
        <v>42.24</v>
      </c>
      <c r="BG15" s="9">
        <v>45.64</v>
      </c>
      <c r="BH15" s="9">
        <v>30.7</v>
      </c>
      <c r="BI15" s="9">
        <v>43.39</v>
      </c>
      <c r="BJ15" s="9">
        <v>2.2999999999999998</v>
      </c>
      <c r="BK15" s="9">
        <v>0</v>
      </c>
      <c r="BL15" s="9">
        <v>1</v>
      </c>
      <c r="BM15" s="9">
        <v>0</v>
      </c>
      <c r="BN15" s="9">
        <v>0</v>
      </c>
      <c r="BO15" s="9">
        <v>2</v>
      </c>
      <c r="BP15" s="9">
        <v>2</v>
      </c>
      <c r="BQ15" s="9">
        <v>1</v>
      </c>
      <c r="BR15" s="9">
        <v>0</v>
      </c>
      <c r="BS15" s="9">
        <v>2</v>
      </c>
      <c r="BT15" s="9">
        <v>1</v>
      </c>
      <c r="BU15" s="9">
        <v>0</v>
      </c>
      <c r="BV15" s="9">
        <v>0</v>
      </c>
      <c r="BW15" s="9">
        <v>0</v>
      </c>
      <c r="BX15" s="9">
        <v>2</v>
      </c>
      <c r="BY15" s="9">
        <v>2</v>
      </c>
      <c r="BZ15" s="9">
        <v>13</v>
      </c>
      <c r="CA15" s="9">
        <v>12</v>
      </c>
      <c r="CB15" s="9">
        <v>67</v>
      </c>
      <c r="CC15" s="9">
        <v>52</v>
      </c>
      <c r="CD15" s="9">
        <v>33</v>
      </c>
      <c r="CE15" s="9">
        <v>32</v>
      </c>
      <c r="CF15" s="9">
        <v>51</v>
      </c>
      <c r="CG15" s="9">
        <v>51</v>
      </c>
      <c r="CH15" s="14">
        <v>0.32608695652173902</v>
      </c>
      <c r="CI15" s="9">
        <v>26</v>
      </c>
      <c r="CJ15" s="9">
        <v>28</v>
      </c>
      <c r="CK15" s="9">
        <v>30</v>
      </c>
      <c r="CL15" s="9">
        <v>28</v>
      </c>
      <c r="CM15" s="9">
        <v>23.1</v>
      </c>
      <c r="CN15" s="9">
        <v>19.899999999999999</v>
      </c>
      <c r="CO15" s="9"/>
      <c r="CP15" s="9">
        <v>1</v>
      </c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</row>
    <row r="16" spans="1:113" ht="16" x14ac:dyDescent="0.2">
      <c r="A16" s="9">
        <v>890024</v>
      </c>
      <c r="B16" s="9">
        <v>1</v>
      </c>
      <c r="C16" s="9" t="s">
        <v>131</v>
      </c>
      <c r="D16" s="9">
        <v>1</v>
      </c>
      <c r="E16" s="9">
        <v>6.4941199999999997</v>
      </c>
      <c r="F16" s="9">
        <v>2.6390500000000001</v>
      </c>
      <c r="G16" s="9">
        <v>40</v>
      </c>
      <c r="H16" s="9">
        <v>46.5</v>
      </c>
      <c r="I16" s="9">
        <v>3.91371</v>
      </c>
      <c r="J16" s="9">
        <v>1.31646</v>
      </c>
      <c r="K16" s="9">
        <v>0.14706</v>
      </c>
      <c r="L16" s="9">
        <v>2.26471</v>
      </c>
      <c r="M16" s="9">
        <v>0.13553000000000001</v>
      </c>
      <c r="N16" s="9">
        <v>303.60000000000002</v>
      </c>
      <c r="O16" s="9">
        <v>0</v>
      </c>
      <c r="P16" s="9">
        <v>37</v>
      </c>
      <c r="Q16" s="9">
        <v>0</v>
      </c>
      <c r="R16" s="9" t="s">
        <v>93</v>
      </c>
      <c r="S16" s="9">
        <v>35.700000000000003</v>
      </c>
      <c r="T16" s="9">
        <v>22</v>
      </c>
      <c r="U16" s="9">
        <v>0</v>
      </c>
      <c r="V16" s="9">
        <v>0</v>
      </c>
      <c r="W16" s="9">
        <v>1</v>
      </c>
      <c r="X16" s="9">
        <v>15</v>
      </c>
      <c r="Y16" s="9">
        <v>19</v>
      </c>
      <c r="Z16" s="9">
        <v>21</v>
      </c>
      <c r="AA16" s="9">
        <v>23</v>
      </c>
      <c r="AB16" s="9">
        <v>23</v>
      </c>
      <c r="AC16" s="9">
        <v>101</v>
      </c>
      <c r="AD16" s="9">
        <v>19</v>
      </c>
      <c r="AE16" s="9">
        <v>17</v>
      </c>
      <c r="AF16" s="9">
        <v>18</v>
      </c>
      <c r="AG16" s="9">
        <v>14</v>
      </c>
      <c r="AH16" s="9">
        <v>18</v>
      </c>
      <c r="AI16" s="9">
        <v>86</v>
      </c>
      <c r="AJ16" s="9">
        <v>26</v>
      </c>
      <c r="AK16" s="9">
        <v>6</v>
      </c>
      <c r="AL16" s="9">
        <v>54.4</v>
      </c>
      <c r="AM16" s="9">
        <v>64.099999999999994</v>
      </c>
      <c r="AN16" s="9">
        <v>66.400000000000006</v>
      </c>
      <c r="AO16" s="9">
        <v>54.7</v>
      </c>
      <c r="AP16" s="9">
        <v>61.4</v>
      </c>
      <c r="AQ16" s="9">
        <v>52.2</v>
      </c>
      <c r="AR16" s="9">
        <v>59.8</v>
      </c>
      <c r="AS16" s="9">
        <v>65.400000000000006</v>
      </c>
      <c r="AT16" s="9">
        <v>37.4</v>
      </c>
      <c r="AU16" s="9">
        <v>33.799999999999997</v>
      </c>
      <c r="AV16" s="9">
        <v>22</v>
      </c>
      <c r="AW16" s="9">
        <v>2</v>
      </c>
      <c r="AX16" s="9">
        <v>8</v>
      </c>
      <c r="AY16" s="9">
        <v>10</v>
      </c>
      <c r="AZ16" s="9">
        <v>42.23</v>
      </c>
      <c r="BA16" s="9">
        <v>36.950000000000003</v>
      </c>
      <c r="BB16" s="9">
        <v>38.21</v>
      </c>
      <c r="BC16" s="9">
        <v>30.84</v>
      </c>
      <c r="BD16" s="9">
        <v>28.83</v>
      </c>
      <c r="BE16" s="9">
        <v>32.270000000000003</v>
      </c>
      <c r="BF16" s="9">
        <v>38.76</v>
      </c>
      <c r="BG16" s="9">
        <v>29.94</v>
      </c>
      <c r="BH16" s="9">
        <v>39.71</v>
      </c>
      <c r="BI16" s="9">
        <v>30.47</v>
      </c>
      <c r="BJ16" s="9">
        <v>2.2000000000000002</v>
      </c>
      <c r="BK16" s="9">
        <v>1</v>
      </c>
      <c r="BL16" s="9">
        <v>0</v>
      </c>
      <c r="BM16" s="9">
        <v>0</v>
      </c>
      <c r="BN16" s="9"/>
      <c r="BO16" s="9">
        <v>2</v>
      </c>
      <c r="BP16" s="9">
        <v>1</v>
      </c>
      <c r="BQ16" s="9">
        <v>1</v>
      </c>
      <c r="BR16" s="9">
        <v>0</v>
      </c>
      <c r="BS16" s="9">
        <v>1</v>
      </c>
      <c r="BT16" s="9">
        <v>1</v>
      </c>
      <c r="BU16" s="9">
        <v>0</v>
      </c>
      <c r="BV16" s="9">
        <v>2</v>
      </c>
      <c r="BW16" s="9">
        <v>0</v>
      </c>
      <c r="BX16" s="9">
        <v>2</v>
      </c>
      <c r="BY16" s="9">
        <v>0</v>
      </c>
      <c r="BZ16" s="9">
        <v>11</v>
      </c>
      <c r="CA16" s="9">
        <v>8</v>
      </c>
      <c r="CB16" s="9">
        <v>59</v>
      </c>
      <c r="CC16" s="9">
        <v>64</v>
      </c>
      <c r="CD16" s="9">
        <v>46</v>
      </c>
      <c r="CE16" s="9">
        <v>57</v>
      </c>
      <c r="CF16" s="9">
        <v>57</v>
      </c>
      <c r="CG16" s="9">
        <v>50</v>
      </c>
      <c r="CH16" s="14">
        <v>0.6</v>
      </c>
      <c r="CI16" s="9">
        <v>40</v>
      </c>
      <c r="CJ16" s="9">
        <v>40</v>
      </c>
      <c r="CK16" s="9">
        <v>36</v>
      </c>
      <c r="CL16" s="9">
        <v>38</v>
      </c>
      <c r="CM16" s="9">
        <v>38.6</v>
      </c>
      <c r="CN16" s="9">
        <v>48.2</v>
      </c>
      <c r="CO16" s="9">
        <v>0</v>
      </c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</row>
    <row r="17" spans="1:113" ht="16" x14ac:dyDescent="0.2">
      <c r="A17" s="9">
        <v>890026</v>
      </c>
      <c r="B17" s="9">
        <v>1</v>
      </c>
      <c r="C17" s="9" t="s">
        <v>131</v>
      </c>
      <c r="D17" s="9">
        <v>1</v>
      </c>
      <c r="E17" s="9">
        <v>10.088240000000001</v>
      </c>
      <c r="F17" s="9">
        <v>0.76331000000000004</v>
      </c>
      <c r="G17" s="9">
        <v>55.5</v>
      </c>
      <c r="H17" s="9">
        <v>65.599999999999994</v>
      </c>
      <c r="I17" s="9">
        <v>2.6852800000000001</v>
      </c>
      <c r="J17" s="9">
        <v>0.93037999999999998</v>
      </c>
      <c r="K17" s="9">
        <v>8.2350000000000007E-2</v>
      </c>
      <c r="L17" s="9">
        <v>1.3588199999999999</v>
      </c>
      <c r="M17" s="9">
        <v>9.5240000000000005E-2</v>
      </c>
      <c r="N17" s="9">
        <v>136.1</v>
      </c>
      <c r="O17" s="9">
        <v>0</v>
      </c>
      <c r="P17" s="9">
        <v>27</v>
      </c>
      <c r="Q17" s="9">
        <v>0</v>
      </c>
      <c r="R17" s="9" t="s">
        <v>93</v>
      </c>
      <c r="S17" s="9">
        <v>27.5</v>
      </c>
      <c r="T17" s="9">
        <v>14</v>
      </c>
      <c r="U17" s="9">
        <v>0</v>
      </c>
      <c r="V17" s="9">
        <v>0</v>
      </c>
      <c r="W17" s="9">
        <v>0</v>
      </c>
      <c r="X17" s="9">
        <v>13</v>
      </c>
      <c r="Y17" s="9">
        <v>9</v>
      </c>
      <c r="Z17" s="9">
        <v>18</v>
      </c>
      <c r="AA17" s="9">
        <v>14</v>
      </c>
      <c r="AB17" s="9">
        <v>14</v>
      </c>
      <c r="AC17" s="9">
        <v>68</v>
      </c>
      <c r="AD17" s="9">
        <v>12</v>
      </c>
      <c r="AE17" s="9">
        <v>13</v>
      </c>
      <c r="AF17" s="9">
        <v>5</v>
      </c>
      <c r="AG17" s="9">
        <v>17</v>
      </c>
      <c r="AH17" s="9">
        <v>11</v>
      </c>
      <c r="AI17" s="9">
        <v>58</v>
      </c>
      <c r="AJ17" s="9">
        <v>39</v>
      </c>
      <c r="AK17" s="9">
        <v>8</v>
      </c>
      <c r="AL17" s="9">
        <v>45.7</v>
      </c>
      <c r="AM17" s="9"/>
      <c r="AN17" s="9">
        <v>57.1</v>
      </c>
      <c r="AO17" s="9">
        <v>55.3</v>
      </c>
      <c r="AP17" s="9"/>
      <c r="AQ17" s="9"/>
      <c r="AR17" s="9">
        <v>70.099999999999994</v>
      </c>
      <c r="AS17" s="9">
        <v>46</v>
      </c>
      <c r="AT17" s="9"/>
      <c r="AU17" s="9"/>
      <c r="AV17" s="9">
        <v>58</v>
      </c>
      <c r="AW17" s="9">
        <v>1</v>
      </c>
      <c r="AX17" s="9">
        <v>5</v>
      </c>
      <c r="AY17" s="9">
        <v>6</v>
      </c>
      <c r="AZ17" s="9">
        <v>51.8</v>
      </c>
      <c r="BA17" s="9">
        <v>41.44</v>
      </c>
      <c r="BB17" s="9">
        <v>38.21</v>
      </c>
      <c r="BC17" s="9">
        <v>35.590000000000003</v>
      </c>
      <c r="BD17" s="9">
        <v>40.72</v>
      </c>
      <c r="BE17" s="9">
        <v>27.26</v>
      </c>
      <c r="BF17" s="9">
        <v>38.76</v>
      </c>
      <c r="BG17" s="9">
        <v>40.4</v>
      </c>
      <c r="BH17" s="9">
        <v>44.6</v>
      </c>
      <c r="BI17" s="9">
        <v>34.18</v>
      </c>
      <c r="BJ17" s="9">
        <v>2.4</v>
      </c>
      <c r="BK17" s="9">
        <v>1</v>
      </c>
      <c r="BL17" s="9">
        <v>0</v>
      </c>
      <c r="BM17" s="9">
        <v>1</v>
      </c>
      <c r="BN17" s="9"/>
      <c r="BO17" s="9">
        <v>1</v>
      </c>
      <c r="BP17" s="9">
        <v>0</v>
      </c>
      <c r="BQ17" s="9">
        <v>2</v>
      </c>
      <c r="BR17" s="9">
        <v>0</v>
      </c>
      <c r="BS17" s="9">
        <v>1</v>
      </c>
      <c r="BT17" s="9">
        <v>2</v>
      </c>
      <c r="BU17" s="9">
        <v>0</v>
      </c>
      <c r="BV17" s="9">
        <v>2</v>
      </c>
      <c r="BW17" s="9">
        <v>2</v>
      </c>
      <c r="BX17" s="9">
        <v>2</v>
      </c>
      <c r="BY17" s="9">
        <v>1</v>
      </c>
      <c r="BZ17" s="9">
        <v>15</v>
      </c>
      <c r="CA17" s="9"/>
      <c r="CB17" s="9">
        <v>61</v>
      </c>
      <c r="CC17" s="9">
        <v>65</v>
      </c>
      <c r="CD17" s="9">
        <v>32</v>
      </c>
      <c r="CE17" s="9">
        <v>30</v>
      </c>
      <c r="CF17" s="9">
        <v>40</v>
      </c>
      <c r="CG17" s="9">
        <v>35</v>
      </c>
      <c r="CH17" s="14">
        <v>0.434782608695652</v>
      </c>
      <c r="CI17" s="9">
        <v>57</v>
      </c>
      <c r="CJ17" s="9">
        <v>54</v>
      </c>
      <c r="CK17" s="9">
        <v>51</v>
      </c>
      <c r="CL17" s="9">
        <v>46</v>
      </c>
      <c r="CM17" s="9">
        <v>29</v>
      </c>
      <c r="CN17" s="9">
        <v>15</v>
      </c>
      <c r="CO17" s="9"/>
      <c r="CP17" s="9">
        <v>1</v>
      </c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</row>
    <row r="18" spans="1:113" ht="16" x14ac:dyDescent="0.2">
      <c r="A18" s="9">
        <v>890027</v>
      </c>
      <c r="B18" s="9">
        <v>1</v>
      </c>
      <c r="C18" s="9" t="s">
        <v>131</v>
      </c>
      <c r="D18" s="9">
        <v>1</v>
      </c>
      <c r="E18" s="9">
        <v>6.7235300000000002</v>
      </c>
      <c r="F18" s="9">
        <v>0.47337000000000001</v>
      </c>
      <c r="G18" s="9" t="s">
        <v>100</v>
      </c>
      <c r="H18" s="9" t="s">
        <v>100</v>
      </c>
      <c r="I18" s="9">
        <v>2.91371</v>
      </c>
      <c r="J18" s="9">
        <v>0.77532000000000001</v>
      </c>
      <c r="K18" s="9">
        <v>2.9409999999999999E-2</v>
      </c>
      <c r="L18" s="9">
        <v>2.34118</v>
      </c>
      <c r="M18" s="9">
        <v>0.19414000000000001</v>
      </c>
      <c r="N18" s="9" t="s">
        <v>100</v>
      </c>
      <c r="O18" s="9" t="s">
        <v>133</v>
      </c>
      <c r="P18" s="9">
        <v>61</v>
      </c>
      <c r="Q18" s="9">
        <v>1</v>
      </c>
      <c r="R18" s="9" t="s">
        <v>93</v>
      </c>
      <c r="S18" s="9">
        <v>26.4</v>
      </c>
      <c r="T18" s="9">
        <v>19</v>
      </c>
      <c r="U18" s="9">
        <v>0</v>
      </c>
      <c r="V18" s="9">
        <v>0</v>
      </c>
      <c r="W18" s="9">
        <v>0</v>
      </c>
      <c r="X18" s="9">
        <v>28</v>
      </c>
      <c r="Y18" s="9">
        <v>16</v>
      </c>
      <c r="Z18" s="9">
        <v>22</v>
      </c>
      <c r="AA18" s="9">
        <v>17</v>
      </c>
      <c r="AB18" s="9">
        <v>20</v>
      </c>
      <c r="AC18" s="9">
        <v>103</v>
      </c>
      <c r="AD18" s="9">
        <v>20</v>
      </c>
      <c r="AE18" s="9">
        <v>17</v>
      </c>
      <c r="AF18" s="9">
        <v>20</v>
      </c>
      <c r="AG18" s="9">
        <v>13</v>
      </c>
      <c r="AH18" s="9">
        <v>16</v>
      </c>
      <c r="AI18" s="9">
        <v>86</v>
      </c>
      <c r="AJ18" s="9"/>
      <c r="AK18" s="9"/>
      <c r="AL18" s="9"/>
      <c r="AM18" s="9"/>
      <c r="AN18" s="9"/>
      <c r="AO18" s="9"/>
      <c r="AP18" s="9">
        <v>60.8</v>
      </c>
      <c r="AQ18" s="9"/>
      <c r="AR18" s="9"/>
      <c r="AS18" s="9"/>
      <c r="AT18" s="9"/>
      <c r="AU18" s="9"/>
      <c r="AV18" s="9">
        <v>12</v>
      </c>
      <c r="AW18" s="9">
        <v>2</v>
      </c>
      <c r="AX18" s="9">
        <v>9</v>
      </c>
      <c r="AY18" s="9">
        <v>11</v>
      </c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>
        <v>1.7</v>
      </c>
      <c r="BK18" s="9">
        <v>1</v>
      </c>
      <c r="BL18" s="9">
        <v>1</v>
      </c>
      <c r="BM18" s="9">
        <v>0</v>
      </c>
      <c r="BN18" s="9">
        <v>0</v>
      </c>
      <c r="BO18" s="9">
        <v>1</v>
      </c>
      <c r="BP18" s="9">
        <v>0</v>
      </c>
      <c r="BQ18" s="9">
        <v>2</v>
      </c>
      <c r="BR18" s="9">
        <v>0</v>
      </c>
      <c r="BS18" s="9">
        <v>1</v>
      </c>
      <c r="BT18" s="9">
        <v>0</v>
      </c>
      <c r="BU18" s="9">
        <v>0</v>
      </c>
      <c r="BV18" s="9">
        <v>1</v>
      </c>
      <c r="BW18" s="9">
        <v>1</v>
      </c>
      <c r="BX18" s="9">
        <v>2</v>
      </c>
      <c r="BY18" s="9">
        <v>0</v>
      </c>
      <c r="BZ18" s="9">
        <v>10</v>
      </c>
      <c r="CA18" s="9"/>
      <c r="CB18" s="9"/>
      <c r="CC18" s="9"/>
      <c r="CD18" s="9"/>
      <c r="CE18" s="9"/>
      <c r="CF18" s="9"/>
      <c r="CG18" s="9"/>
      <c r="CH18" s="14">
        <v>6.451612903225809E-2</v>
      </c>
      <c r="CI18" s="9">
        <v>17</v>
      </c>
      <c r="CJ18" s="9">
        <v>18</v>
      </c>
      <c r="CK18" s="9">
        <v>14</v>
      </c>
      <c r="CL18" s="9">
        <v>13</v>
      </c>
      <c r="CM18" s="9">
        <v>11</v>
      </c>
      <c r="CN18" s="9">
        <v>7</v>
      </c>
      <c r="CO18" s="9"/>
      <c r="CP18" s="9">
        <v>0</v>
      </c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</row>
    <row r="19" spans="1:113" ht="16" x14ac:dyDescent="0.2">
      <c r="A19" s="9">
        <v>890029</v>
      </c>
      <c r="B19" s="9">
        <v>1</v>
      </c>
      <c r="C19" s="9" t="s">
        <v>131</v>
      </c>
      <c r="D19" s="9">
        <v>1</v>
      </c>
      <c r="E19" s="9">
        <v>8.1235300000000006</v>
      </c>
      <c r="F19" s="9">
        <v>0.58579999999999999</v>
      </c>
      <c r="G19" s="9">
        <v>43.4</v>
      </c>
      <c r="H19" s="9">
        <v>51.5</v>
      </c>
      <c r="I19" s="9">
        <v>2.4162400000000002</v>
      </c>
      <c r="J19" s="9">
        <v>1.0727800000000001</v>
      </c>
      <c r="K19" s="9" t="s">
        <v>134</v>
      </c>
      <c r="L19" s="9">
        <v>1</v>
      </c>
      <c r="M19" s="9">
        <v>0.22344</v>
      </c>
      <c r="N19" s="9">
        <v>219.3</v>
      </c>
      <c r="O19" s="9">
        <v>1</v>
      </c>
      <c r="P19" s="9">
        <v>40</v>
      </c>
      <c r="Q19" s="9">
        <v>1</v>
      </c>
      <c r="R19" s="9" t="s">
        <v>93</v>
      </c>
      <c r="S19" s="9">
        <v>27.4</v>
      </c>
      <c r="T19" s="9">
        <v>31</v>
      </c>
      <c r="U19" s="9">
        <v>0</v>
      </c>
      <c r="V19" s="9">
        <v>0</v>
      </c>
      <c r="W19" s="9">
        <v>0</v>
      </c>
      <c r="X19" s="9">
        <v>20</v>
      </c>
      <c r="Y19" s="9">
        <v>8</v>
      </c>
      <c r="Z19" s="9">
        <v>13</v>
      </c>
      <c r="AA19" s="9">
        <v>12</v>
      </c>
      <c r="AB19" s="9">
        <v>15</v>
      </c>
      <c r="AC19" s="9">
        <v>68</v>
      </c>
      <c r="AD19" s="9">
        <v>17</v>
      </c>
      <c r="AE19" s="9">
        <v>12</v>
      </c>
      <c r="AF19" s="9">
        <v>6</v>
      </c>
      <c r="AG19" s="9">
        <v>5</v>
      </c>
      <c r="AH19" s="9">
        <v>11</v>
      </c>
      <c r="AI19" s="9">
        <v>51</v>
      </c>
      <c r="AJ19" s="9">
        <v>2</v>
      </c>
      <c r="AK19" s="9">
        <v>1</v>
      </c>
      <c r="AL19" s="9">
        <v>35.799999999999997</v>
      </c>
      <c r="AM19" s="9">
        <v>40.700000000000003</v>
      </c>
      <c r="AN19" s="9">
        <v>64.400000000000006</v>
      </c>
      <c r="AO19" s="9">
        <v>35.799999999999997</v>
      </c>
      <c r="AP19" s="9">
        <v>59.2</v>
      </c>
      <c r="AQ19" s="9">
        <v>62.9</v>
      </c>
      <c r="AR19" s="9">
        <v>71.5</v>
      </c>
      <c r="AS19" s="9">
        <v>48.7</v>
      </c>
      <c r="AT19" s="9">
        <v>50.8</v>
      </c>
      <c r="AU19" s="9">
        <v>45.8</v>
      </c>
      <c r="AV19" s="9">
        <v>0</v>
      </c>
      <c r="AW19" s="9">
        <v>0</v>
      </c>
      <c r="AX19" s="9">
        <v>7</v>
      </c>
      <c r="AY19" s="9">
        <v>7</v>
      </c>
      <c r="AZ19" s="9">
        <v>55.63</v>
      </c>
      <c r="BA19" s="9">
        <v>30.21</v>
      </c>
      <c r="BB19" s="9">
        <v>62</v>
      </c>
      <c r="BC19" s="9">
        <v>60.32</v>
      </c>
      <c r="BD19" s="9">
        <v>46.66</v>
      </c>
      <c r="BE19" s="9">
        <v>47.31</v>
      </c>
      <c r="BF19" s="9">
        <v>56.17</v>
      </c>
      <c r="BG19" s="9">
        <v>50.87</v>
      </c>
      <c r="BH19" s="9">
        <v>50.37</v>
      </c>
      <c r="BI19" s="9">
        <v>51.41</v>
      </c>
      <c r="BJ19" s="9">
        <v>2.4</v>
      </c>
      <c r="BK19" s="9">
        <v>0</v>
      </c>
      <c r="BL19" s="9">
        <v>0</v>
      </c>
      <c r="BM19" s="9">
        <v>1</v>
      </c>
      <c r="BN19" s="9">
        <v>0</v>
      </c>
      <c r="BO19" s="9">
        <v>1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1</v>
      </c>
      <c r="BX19" s="9">
        <v>2</v>
      </c>
      <c r="BY19" s="9">
        <v>1</v>
      </c>
      <c r="BZ19" s="9">
        <v>6</v>
      </c>
      <c r="CA19" s="9">
        <v>7</v>
      </c>
      <c r="CB19" s="9">
        <v>63</v>
      </c>
      <c r="CC19" s="9">
        <v>56</v>
      </c>
      <c r="CD19" s="9">
        <v>40</v>
      </c>
      <c r="CE19" s="9">
        <v>50</v>
      </c>
      <c r="CF19" s="9">
        <v>64</v>
      </c>
      <c r="CG19" s="9">
        <v>61</v>
      </c>
      <c r="CH19" s="14">
        <v>0.38297872340425498</v>
      </c>
      <c r="CI19" s="9">
        <v>25</v>
      </c>
      <c r="CJ19" s="9">
        <v>30</v>
      </c>
      <c r="CK19" s="9">
        <v>28</v>
      </c>
      <c r="CL19" s="9">
        <v>31</v>
      </c>
      <c r="CM19" s="9">
        <v>75</v>
      </c>
      <c r="CN19" s="9">
        <v>35</v>
      </c>
      <c r="CO19" s="9">
        <v>0</v>
      </c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</row>
    <row r="20" spans="1:113" ht="16" x14ac:dyDescent="0.2">
      <c r="A20" s="9">
        <v>890030</v>
      </c>
      <c r="B20" s="9">
        <v>1</v>
      </c>
      <c r="C20" s="9" t="s">
        <v>131</v>
      </c>
      <c r="D20" s="9">
        <v>1</v>
      </c>
      <c r="E20" s="9">
        <v>6.9331100000000001</v>
      </c>
      <c r="F20" s="9">
        <v>0.42629</v>
      </c>
      <c r="G20" s="9">
        <v>40.4</v>
      </c>
      <c r="H20" s="9">
        <v>47.3</v>
      </c>
      <c r="I20" s="9">
        <v>2.4502799999999998</v>
      </c>
      <c r="J20" s="9">
        <v>0.79447000000000001</v>
      </c>
      <c r="K20" s="9">
        <v>2.342E-2</v>
      </c>
      <c r="L20" s="9">
        <v>2.0492300000000001</v>
      </c>
      <c r="M20" s="9">
        <v>7.2679999999999995E-2</v>
      </c>
      <c r="N20" s="9">
        <v>299.5</v>
      </c>
      <c r="O20" s="9">
        <v>0</v>
      </c>
      <c r="P20" s="9">
        <v>40</v>
      </c>
      <c r="Q20" s="9">
        <v>1</v>
      </c>
      <c r="R20" s="9" t="s">
        <v>93</v>
      </c>
      <c r="S20" s="9">
        <v>28</v>
      </c>
      <c r="T20" s="9">
        <v>14</v>
      </c>
      <c r="U20" s="9">
        <v>0</v>
      </c>
      <c r="V20" s="9">
        <v>0</v>
      </c>
      <c r="W20" s="9">
        <v>0</v>
      </c>
      <c r="X20" s="9">
        <v>18</v>
      </c>
      <c r="Y20" s="9">
        <v>17</v>
      </c>
      <c r="Z20" s="9">
        <v>22</v>
      </c>
      <c r="AA20" s="9">
        <v>14</v>
      </c>
      <c r="AB20" s="9">
        <v>20</v>
      </c>
      <c r="AC20" s="9">
        <v>91</v>
      </c>
      <c r="AD20" s="9">
        <v>20</v>
      </c>
      <c r="AE20" s="9">
        <v>19</v>
      </c>
      <c r="AF20" s="9">
        <v>16</v>
      </c>
      <c r="AG20" s="9">
        <v>10</v>
      </c>
      <c r="AH20" s="9">
        <v>13</v>
      </c>
      <c r="AI20" s="9">
        <v>78</v>
      </c>
      <c r="AJ20" s="9">
        <v>20</v>
      </c>
      <c r="AK20" s="9">
        <v>6</v>
      </c>
      <c r="AL20" s="9">
        <v>54.4</v>
      </c>
      <c r="AM20" s="9">
        <v>56.6</v>
      </c>
      <c r="AN20" s="9">
        <v>65.099999999999994</v>
      </c>
      <c r="AO20" s="9">
        <v>52</v>
      </c>
      <c r="AP20" s="9">
        <v>61.5</v>
      </c>
      <c r="AQ20" s="9">
        <v>58.3</v>
      </c>
      <c r="AR20" s="9">
        <v>54.2</v>
      </c>
      <c r="AS20" s="9">
        <v>48.8</v>
      </c>
      <c r="AT20" s="9">
        <v>37.4</v>
      </c>
      <c r="AU20" s="9">
        <v>36.299999999999997</v>
      </c>
      <c r="AV20" s="9">
        <v>29</v>
      </c>
      <c r="AW20" s="9">
        <v>10</v>
      </c>
      <c r="AX20" s="9">
        <v>9</v>
      </c>
      <c r="AY20" s="9">
        <v>19</v>
      </c>
      <c r="AZ20" s="9">
        <v>47.97</v>
      </c>
      <c r="BA20" s="9">
        <v>32.46</v>
      </c>
      <c r="BB20" s="9">
        <v>62</v>
      </c>
      <c r="BC20" s="9">
        <v>35.590000000000003</v>
      </c>
      <c r="BD20" s="9">
        <v>28.83</v>
      </c>
      <c r="BE20" s="9">
        <v>22.25</v>
      </c>
      <c r="BF20" s="9">
        <v>38.76</v>
      </c>
      <c r="BG20" s="9">
        <v>48.25</v>
      </c>
      <c r="BH20" s="9">
        <v>45.34</v>
      </c>
      <c r="BI20" s="9">
        <v>33.520000000000003</v>
      </c>
      <c r="BJ20" s="9">
        <v>1.5</v>
      </c>
      <c r="BK20" s="9">
        <v>1</v>
      </c>
      <c r="BL20" s="9">
        <v>1</v>
      </c>
      <c r="BM20" s="9">
        <v>2</v>
      </c>
      <c r="BN20" s="9">
        <v>0</v>
      </c>
      <c r="BO20" s="9">
        <v>2</v>
      </c>
      <c r="BP20" s="9">
        <v>1</v>
      </c>
      <c r="BQ20" s="9">
        <v>1</v>
      </c>
      <c r="BR20" s="9">
        <v>0</v>
      </c>
      <c r="BS20" s="9">
        <v>2</v>
      </c>
      <c r="BT20" s="9">
        <v>2</v>
      </c>
      <c r="BU20" s="9">
        <v>0</v>
      </c>
      <c r="BV20" s="9">
        <v>1</v>
      </c>
      <c r="BW20" s="9">
        <v>1</v>
      </c>
      <c r="BX20" s="9">
        <v>2</v>
      </c>
      <c r="BY20" s="9">
        <v>2</v>
      </c>
      <c r="BZ20" s="9">
        <v>18</v>
      </c>
      <c r="CA20" s="9">
        <v>4</v>
      </c>
      <c r="CB20" s="9">
        <v>49</v>
      </c>
      <c r="CC20" s="9">
        <v>73</v>
      </c>
      <c r="CD20" s="9">
        <v>31</v>
      </c>
      <c r="CE20" s="9">
        <v>32</v>
      </c>
      <c r="CF20" s="9">
        <v>48</v>
      </c>
      <c r="CG20" s="9">
        <v>41</v>
      </c>
      <c r="CH20" s="14">
        <v>0.3</v>
      </c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</row>
    <row r="21" spans="1:113" ht="16" x14ac:dyDescent="0.2">
      <c r="A21" s="9">
        <v>890031</v>
      </c>
      <c r="B21" s="9">
        <v>1</v>
      </c>
      <c r="C21" s="9" t="s">
        <v>131</v>
      </c>
      <c r="D21" s="9">
        <v>1</v>
      </c>
      <c r="E21" s="9">
        <v>10.41525882</v>
      </c>
      <c r="F21" s="9">
        <v>0.79349704099999996</v>
      </c>
      <c r="G21" s="9">
        <v>50.092391300000003</v>
      </c>
      <c r="H21" s="9">
        <v>60.507650130000002</v>
      </c>
      <c r="I21" s="9">
        <v>5.0854568530000002</v>
      </c>
      <c r="J21" s="9">
        <v>1.588800633</v>
      </c>
      <c r="K21" s="9" t="s">
        <v>134</v>
      </c>
      <c r="L21" s="9">
        <v>0.88567261900000005</v>
      </c>
      <c r="M21" s="9">
        <v>0.21656043999999999</v>
      </c>
      <c r="N21" s="9">
        <v>112.6923077</v>
      </c>
      <c r="O21" s="9">
        <v>0</v>
      </c>
      <c r="P21" s="9">
        <v>57</v>
      </c>
      <c r="Q21" s="9">
        <v>0</v>
      </c>
      <c r="R21" s="9" t="s">
        <v>93</v>
      </c>
      <c r="S21" s="9">
        <v>24.7</v>
      </c>
      <c r="T21" s="9">
        <v>27</v>
      </c>
      <c r="U21" s="9">
        <v>0</v>
      </c>
      <c r="V21" s="9">
        <v>0</v>
      </c>
      <c r="W21" s="9">
        <v>0</v>
      </c>
      <c r="X21" s="9">
        <v>20</v>
      </c>
      <c r="Y21" s="9">
        <v>13</v>
      </c>
      <c r="Z21" s="9">
        <v>22</v>
      </c>
      <c r="AA21" s="9">
        <v>14</v>
      </c>
      <c r="AB21" s="9">
        <v>21</v>
      </c>
      <c r="AC21" s="9">
        <v>90</v>
      </c>
      <c r="AD21" s="9">
        <v>19</v>
      </c>
      <c r="AE21" s="9">
        <v>18</v>
      </c>
      <c r="AF21" s="9">
        <v>15</v>
      </c>
      <c r="AG21" s="9">
        <v>13</v>
      </c>
      <c r="AH21" s="9">
        <v>16</v>
      </c>
      <c r="AI21" s="9">
        <v>81</v>
      </c>
      <c r="AJ21" s="9">
        <v>14</v>
      </c>
      <c r="AK21" s="9">
        <v>5</v>
      </c>
      <c r="AL21" s="9">
        <v>45.7</v>
      </c>
      <c r="AM21" s="9">
        <v>60.2</v>
      </c>
      <c r="AN21" s="9">
        <v>58.7</v>
      </c>
      <c r="AO21" s="9">
        <v>61.1</v>
      </c>
      <c r="AP21" s="9">
        <v>51.4</v>
      </c>
      <c r="AQ21" s="9">
        <v>58.8</v>
      </c>
      <c r="AR21" s="9">
        <v>63</v>
      </c>
      <c r="AS21" s="9">
        <v>56.2</v>
      </c>
      <c r="AT21" s="9">
        <v>47.7</v>
      </c>
      <c r="AU21" s="9">
        <v>31.3</v>
      </c>
      <c r="AV21" s="9">
        <v>20</v>
      </c>
      <c r="AW21" s="9">
        <v>1</v>
      </c>
      <c r="AX21" s="9">
        <v>10</v>
      </c>
      <c r="AY21" s="9">
        <v>11</v>
      </c>
      <c r="AZ21" s="9">
        <v>42.23</v>
      </c>
      <c r="BA21" s="9">
        <v>21.23</v>
      </c>
      <c r="BB21" s="9">
        <v>43.45</v>
      </c>
      <c r="BC21" s="9">
        <v>45.1</v>
      </c>
      <c r="BD21" s="9">
        <v>34.770000000000003</v>
      </c>
      <c r="BE21" s="9">
        <v>27.26</v>
      </c>
      <c r="BF21" s="9">
        <v>28.31</v>
      </c>
      <c r="BG21" s="9">
        <v>35.17</v>
      </c>
      <c r="BH21" s="9">
        <v>40.47</v>
      </c>
      <c r="BI21" s="9">
        <v>29.74</v>
      </c>
      <c r="BJ21" s="9">
        <v>2.1</v>
      </c>
      <c r="BK21" s="9">
        <v>0</v>
      </c>
      <c r="BL21" s="9">
        <v>0</v>
      </c>
      <c r="BM21" s="9">
        <v>0</v>
      </c>
      <c r="BN21" s="9"/>
      <c r="BO21" s="9">
        <v>2</v>
      </c>
      <c r="BP21" s="9">
        <v>0</v>
      </c>
      <c r="BQ21" s="9">
        <v>1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1</v>
      </c>
      <c r="BY21" s="9">
        <v>2</v>
      </c>
      <c r="BZ21" s="9">
        <v>6</v>
      </c>
      <c r="CA21" s="9">
        <v>10</v>
      </c>
      <c r="CB21" s="9"/>
      <c r="CC21" s="9"/>
      <c r="CD21" s="9"/>
      <c r="CE21" s="9"/>
      <c r="CF21" s="9"/>
      <c r="CG21" s="9"/>
      <c r="CH21" s="14">
        <v>8.0645161290322592E-2</v>
      </c>
      <c r="CI21" s="9">
        <v>35</v>
      </c>
      <c r="CJ21" s="9">
        <v>40</v>
      </c>
      <c r="CK21" s="9">
        <v>32</v>
      </c>
      <c r="CL21" s="9">
        <v>36</v>
      </c>
      <c r="CM21" s="9">
        <v>55</v>
      </c>
      <c r="CN21" s="9">
        <v>25</v>
      </c>
      <c r="CO21" s="18">
        <v>1</v>
      </c>
      <c r="CP21" s="9">
        <v>0</v>
      </c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</row>
    <row r="22" spans="1:113" ht="16" x14ac:dyDescent="0.2">
      <c r="A22" s="9">
        <v>890033</v>
      </c>
      <c r="B22" s="9">
        <v>1</v>
      </c>
      <c r="C22" s="9" t="s">
        <v>131</v>
      </c>
      <c r="D22" s="9">
        <v>1</v>
      </c>
      <c r="E22" s="9">
        <v>25.107240000000001</v>
      </c>
      <c r="F22" s="9">
        <v>1.53349</v>
      </c>
      <c r="G22" s="9">
        <v>40.6</v>
      </c>
      <c r="H22" s="9">
        <v>65.7</v>
      </c>
      <c r="I22" s="9">
        <v>4.2693599999999998</v>
      </c>
      <c r="J22" s="9">
        <v>0.76839000000000002</v>
      </c>
      <c r="K22" s="9" t="s">
        <v>134</v>
      </c>
      <c r="L22" s="9">
        <v>2.74648</v>
      </c>
      <c r="M22" s="9">
        <v>7.0260000000000003E-2</v>
      </c>
      <c r="N22" s="9">
        <v>363</v>
      </c>
      <c r="O22" s="9">
        <v>0</v>
      </c>
      <c r="P22" s="9">
        <v>54</v>
      </c>
      <c r="Q22" s="9">
        <v>1</v>
      </c>
      <c r="R22" s="9" t="s">
        <v>132</v>
      </c>
      <c r="S22" s="9">
        <v>29.4</v>
      </c>
      <c r="T22" s="9">
        <v>18</v>
      </c>
      <c r="U22" s="9">
        <v>0</v>
      </c>
      <c r="V22" s="9">
        <v>0</v>
      </c>
      <c r="W22" s="9">
        <v>0</v>
      </c>
      <c r="X22" s="9">
        <v>23</v>
      </c>
      <c r="Y22" s="9">
        <v>12</v>
      </c>
      <c r="Z22" s="9">
        <v>26</v>
      </c>
      <c r="AA22" s="9">
        <v>12</v>
      </c>
      <c r="AB22" s="9">
        <v>16</v>
      </c>
      <c r="AC22" s="9">
        <v>89</v>
      </c>
      <c r="AD22" s="9">
        <v>16</v>
      </c>
      <c r="AE22" s="9">
        <v>13</v>
      </c>
      <c r="AF22" s="9">
        <v>12</v>
      </c>
      <c r="AG22" s="9">
        <v>12</v>
      </c>
      <c r="AH22" s="9">
        <v>16</v>
      </c>
      <c r="AI22" s="9">
        <v>69</v>
      </c>
      <c r="AJ22" s="9">
        <v>4</v>
      </c>
      <c r="AK22" s="9">
        <v>2</v>
      </c>
      <c r="AL22" s="9">
        <v>48.4</v>
      </c>
      <c r="AM22" s="9">
        <v>50.2</v>
      </c>
      <c r="AN22" s="9">
        <v>60.6</v>
      </c>
      <c r="AO22" s="9">
        <v>52.7</v>
      </c>
      <c r="AP22" s="9">
        <v>54.2</v>
      </c>
      <c r="AQ22" s="9">
        <v>56</v>
      </c>
      <c r="AR22" s="9">
        <v>62.5</v>
      </c>
      <c r="AS22" s="9">
        <v>52.8</v>
      </c>
      <c r="AT22" s="9">
        <v>32.4</v>
      </c>
      <c r="AU22" s="9">
        <v>36.299999999999997</v>
      </c>
      <c r="AV22" s="9">
        <v>0</v>
      </c>
      <c r="AW22" s="9">
        <v>3</v>
      </c>
      <c r="AX22" s="9">
        <v>10</v>
      </c>
      <c r="AY22" s="9">
        <v>13</v>
      </c>
      <c r="AZ22" s="9">
        <v>30.75</v>
      </c>
      <c r="BA22" s="9">
        <v>39.19</v>
      </c>
      <c r="BB22" s="9">
        <v>42.24</v>
      </c>
      <c r="BC22" s="9">
        <v>33.22</v>
      </c>
      <c r="BD22" s="9">
        <v>34.770000000000003</v>
      </c>
      <c r="BE22" s="9">
        <v>37.29</v>
      </c>
      <c r="BF22" s="9">
        <v>42.24</v>
      </c>
      <c r="BG22" s="9">
        <v>40.4</v>
      </c>
      <c r="BH22" s="9">
        <v>34.65</v>
      </c>
      <c r="BI22" s="9">
        <v>41.75</v>
      </c>
      <c r="BJ22" s="9">
        <v>1.7</v>
      </c>
      <c r="BK22" s="9">
        <v>1</v>
      </c>
      <c r="BL22" s="9">
        <v>1</v>
      </c>
      <c r="BM22" s="9">
        <v>0</v>
      </c>
      <c r="BN22" s="9">
        <v>0</v>
      </c>
      <c r="BO22" s="9">
        <v>2</v>
      </c>
      <c r="BP22" s="9">
        <v>0</v>
      </c>
      <c r="BQ22" s="9">
        <v>1</v>
      </c>
      <c r="BR22" s="9">
        <v>0</v>
      </c>
      <c r="BS22" s="9">
        <v>0</v>
      </c>
      <c r="BT22" s="9">
        <v>0</v>
      </c>
      <c r="BU22" s="9">
        <v>0</v>
      </c>
      <c r="BV22" s="9">
        <v>1</v>
      </c>
      <c r="BW22" s="9">
        <v>1</v>
      </c>
      <c r="BX22" s="9">
        <v>2</v>
      </c>
      <c r="BY22" s="9">
        <v>2</v>
      </c>
      <c r="BZ22" s="9">
        <v>11</v>
      </c>
      <c r="CA22" s="9">
        <v>13</v>
      </c>
      <c r="CB22" s="9"/>
      <c r="CC22" s="9"/>
      <c r="CD22" s="9"/>
      <c r="CE22" s="9"/>
      <c r="CF22" s="9"/>
      <c r="CG22" s="9"/>
      <c r="CH22" s="14">
        <v>0.33333333333333298</v>
      </c>
      <c r="CI22" s="9">
        <v>28</v>
      </c>
      <c r="CJ22" s="9">
        <v>25</v>
      </c>
      <c r="CK22" s="9">
        <v>21</v>
      </c>
      <c r="CL22" s="9">
        <v>22</v>
      </c>
      <c r="CM22" s="9">
        <v>62</v>
      </c>
      <c r="CN22" s="9">
        <v>93</v>
      </c>
      <c r="CO22" s="18">
        <v>0</v>
      </c>
      <c r="CP22" s="9">
        <v>0</v>
      </c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</row>
    <row r="23" spans="1:113" ht="16" x14ac:dyDescent="0.2">
      <c r="A23" s="9">
        <v>890034</v>
      </c>
      <c r="B23" s="9">
        <v>1</v>
      </c>
      <c r="C23" s="9" t="s">
        <v>131</v>
      </c>
      <c r="D23" s="9">
        <v>1</v>
      </c>
      <c r="E23" s="9">
        <v>9.27468</v>
      </c>
      <c r="F23" s="9">
        <v>1.18791</v>
      </c>
      <c r="G23" s="9">
        <v>49.5</v>
      </c>
      <c r="H23" s="9">
        <v>58.8</v>
      </c>
      <c r="I23" s="9">
        <v>2.6426799999999999</v>
      </c>
      <c r="J23" s="9">
        <v>0.35893000000000003</v>
      </c>
      <c r="K23" s="9">
        <v>5.2729999999999999E-2</v>
      </c>
      <c r="L23" s="9">
        <v>1.9251199999999999</v>
      </c>
      <c r="M23" s="9">
        <v>4.6469999999999997E-2</v>
      </c>
      <c r="N23" s="9">
        <v>274.60000000000002</v>
      </c>
      <c r="O23" s="9">
        <v>1</v>
      </c>
      <c r="P23" s="9">
        <v>26</v>
      </c>
      <c r="Q23" s="9">
        <v>0</v>
      </c>
      <c r="R23" s="9" t="s">
        <v>116</v>
      </c>
      <c r="S23" s="9">
        <v>31.2</v>
      </c>
      <c r="T23" s="9">
        <v>6</v>
      </c>
      <c r="U23" s="9">
        <v>1</v>
      </c>
      <c r="V23" s="9">
        <v>0</v>
      </c>
      <c r="W23" s="9">
        <v>1</v>
      </c>
      <c r="X23" s="9">
        <v>19</v>
      </c>
      <c r="Y23" s="9">
        <v>19</v>
      </c>
      <c r="Z23" s="9">
        <v>24</v>
      </c>
      <c r="AA23" s="9">
        <v>25</v>
      </c>
      <c r="AB23" s="9">
        <v>32</v>
      </c>
      <c r="AC23" s="9">
        <v>119</v>
      </c>
      <c r="AD23" s="9">
        <v>20</v>
      </c>
      <c r="AE23" s="9">
        <v>20</v>
      </c>
      <c r="AF23" s="9">
        <v>20</v>
      </c>
      <c r="AG23" s="9">
        <v>20</v>
      </c>
      <c r="AH23" s="9">
        <v>18</v>
      </c>
      <c r="AI23" s="9">
        <v>98</v>
      </c>
      <c r="AJ23" s="9">
        <v>31</v>
      </c>
      <c r="AK23" s="9">
        <v>7</v>
      </c>
      <c r="AL23" s="9">
        <v>53.7</v>
      </c>
      <c r="AM23" s="9"/>
      <c r="AN23" s="9">
        <v>65.7</v>
      </c>
      <c r="AO23" s="9">
        <v>60.8</v>
      </c>
      <c r="AP23" s="9"/>
      <c r="AQ23" s="9"/>
      <c r="AR23" s="9">
        <v>49.4</v>
      </c>
      <c r="AS23" s="9">
        <v>59.1</v>
      </c>
      <c r="AT23" s="9"/>
      <c r="AU23" s="9"/>
      <c r="AV23" s="9">
        <v>63</v>
      </c>
      <c r="AW23" s="9">
        <v>4</v>
      </c>
      <c r="AX23" s="9">
        <v>10</v>
      </c>
      <c r="AY23" s="9">
        <v>14</v>
      </c>
      <c r="AZ23" s="9">
        <v>46.06</v>
      </c>
      <c r="BA23" s="9">
        <v>21.23</v>
      </c>
      <c r="BB23" s="9">
        <v>34.18</v>
      </c>
      <c r="BC23" s="9">
        <v>23.71</v>
      </c>
      <c r="BD23" s="9">
        <v>28.83</v>
      </c>
      <c r="BE23" s="9">
        <v>17.23</v>
      </c>
      <c r="BF23" s="9">
        <v>45.72</v>
      </c>
      <c r="BG23" s="9">
        <v>37.79</v>
      </c>
      <c r="BH23" s="9">
        <v>29.79</v>
      </c>
      <c r="BI23" s="9">
        <v>34.83</v>
      </c>
      <c r="BJ23" s="9">
        <v>2.8</v>
      </c>
      <c r="BK23" s="9">
        <v>0</v>
      </c>
      <c r="BL23" s="9">
        <v>1</v>
      </c>
      <c r="BM23" s="9">
        <v>1</v>
      </c>
      <c r="BN23" s="9"/>
      <c r="BO23" s="9">
        <v>2</v>
      </c>
      <c r="BP23" s="9">
        <v>0</v>
      </c>
      <c r="BQ23" s="9">
        <v>1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2</v>
      </c>
      <c r="BY23" s="9">
        <v>2</v>
      </c>
      <c r="BZ23" s="9">
        <v>9</v>
      </c>
      <c r="CA23" s="9"/>
      <c r="CB23" s="9"/>
      <c r="CC23" s="9"/>
      <c r="CD23" s="9"/>
      <c r="CE23" s="9"/>
      <c r="CF23" s="9"/>
      <c r="CG23" s="9"/>
      <c r="CH23" s="14">
        <v>0.452380952380952</v>
      </c>
      <c r="CI23" s="9">
        <v>32</v>
      </c>
      <c r="CJ23" s="9">
        <v>28</v>
      </c>
      <c r="CK23" s="9">
        <v>22</v>
      </c>
      <c r="CL23" s="9">
        <v>29</v>
      </c>
      <c r="CM23" s="9">
        <v>16</v>
      </c>
      <c r="CN23" s="9">
        <v>9.5</v>
      </c>
      <c r="CO23" s="18">
        <v>0</v>
      </c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</row>
    <row r="24" spans="1:113" ht="16" x14ac:dyDescent="0.2">
      <c r="A24" s="9">
        <v>890035</v>
      </c>
      <c r="B24" s="9">
        <v>1</v>
      </c>
      <c r="C24" s="9" t="s">
        <v>131</v>
      </c>
      <c r="D24" s="9">
        <v>1</v>
      </c>
      <c r="E24" s="9">
        <v>16.329409999999999</v>
      </c>
      <c r="F24" s="9">
        <v>0.97040999999999999</v>
      </c>
      <c r="G24" s="9">
        <v>69.5</v>
      </c>
      <c r="H24" s="9">
        <v>85.9</v>
      </c>
      <c r="I24" s="9">
        <v>4.69543</v>
      </c>
      <c r="J24" s="9">
        <v>1.12975</v>
      </c>
      <c r="K24" s="9">
        <v>6.4710000000000004E-2</v>
      </c>
      <c r="L24" s="9">
        <v>1.53529</v>
      </c>
      <c r="M24" s="15">
        <v>1.4245000000000001E-2</v>
      </c>
      <c r="N24" s="9">
        <v>82.9</v>
      </c>
      <c r="O24" s="9">
        <v>0</v>
      </c>
      <c r="P24" s="9">
        <v>61</v>
      </c>
      <c r="Q24" s="9">
        <v>0</v>
      </c>
      <c r="R24" s="9" t="s">
        <v>93</v>
      </c>
      <c r="S24" s="9">
        <v>25.7</v>
      </c>
      <c r="T24" s="9">
        <v>26</v>
      </c>
      <c r="U24" s="9">
        <v>0</v>
      </c>
      <c r="V24" s="9">
        <v>0</v>
      </c>
      <c r="W24" s="9">
        <v>0</v>
      </c>
      <c r="X24" s="9">
        <v>14</v>
      </c>
      <c r="Y24" s="9">
        <v>7</v>
      </c>
      <c r="Z24" s="9">
        <v>16</v>
      </c>
      <c r="AA24" s="9">
        <v>13</v>
      </c>
      <c r="AB24" s="9">
        <v>16</v>
      </c>
      <c r="AC24" s="9">
        <v>66</v>
      </c>
      <c r="AD24" s="9">
        <v>12</v>
      </c>
      <c r="AE24" s="9">
        <v>14</v>
      </c>
      <c r="AF24" s="9">
        <v>14</v>
      </c>
      <c r="AG24" s="9">
        <v>13</v>
      </c>
      <c r="AH24" s="9">
        <v>11</v>
      </c>
      <c r="AI24" s="9">
        <v>64</v>
      </c>
      <c r="AJ24" s="9">
        <v>31</v>
      </c>
      <c r="AK24" s="9">
        <v>5</v>
      </c>
      <c r="AL24" s="9">
        <v>54.4</v>
      </c>
      <c r="AM24" s="9">
        <v>66.3</v>
      </c>
      <c r="AN24" s="9">
        <v>64.400000000000006</v>
      </c>
      <c r="AO24" s="9">
        <v>54.2</v>
      </c>
      <c r="AP24" s="9">
        <v>56.9</v>
      </c>
      <c r="AQ24" s="9">
        <v>59.5</v>
      </c>
      <c r="AR24" s="9">
        <v>46.1</v>
      </c>
      <c r="AS24" s="9">
        <v>43.3</v>
      </c>
      <c r="AT24" s="9">
        <v>44.9</v>
      </c>
      <c r="AU24" s="9">
        <v>48.3</v>
      </c>
      <c r="AV24" s="9">
        <v>30</v>
      </c>
      <c r="AW24" s="9">
        <v>1</v>
      </c>
      <c r="AX24" s="9">
        <v>5</v>
      </c>
      <c r="AY24" s="9">
        <v>6</v>
      </c>
      <c r="AZ24" s="9">
        <v>49.88</v>
      </c>
      <c r="BA24" s="9">
        <v>43.68</v>
      </c>
      <c r="BB24" s="9">
        <v>38.21</v>
      </c>
      <c r="BC24" s="9">
        <v>50.81</v>
      </c>
      <c r="BD24" s="9">
        <v>31.8</v>
      </c>
      <c r="BE24" s="9">
        <v>47.31</v>
      </c>
      <c r="BF24" s="9">
        <v>56.17</v>
      </c>
      <c r="BG24" s="9">
        <v>53.48</v>
      </c>
      <c r="BH24" s="9">
        <v>41.73</v>
      </c>
      <c r="BI24" s="9">
        <v>51.31</v>
      </c>
      <c r="BJ24" s="9">
        <v>1.7</v>
      </c>
      <c r="BK24" s="9">
        <v>0</v>
      </c>
      <c r="BL24" s="9">
        <v>1</v>
      </c>
      <c r="BM24" s="9">
        <v>1</v>
      </c>
      <c r="BN24" s="9"/>
      <c r="BO24" s="9">
        <v>2</v>
      </c>
      <c r="BP24" s="9">
        <v>0</v>
      </c>
      <c r="BQ24" s="9">
        <v>0</v>
      </c>
      <c r="BR24" s="9">
        <v>0</v>
      </c>
      <c r="BS24" s="9">
        <v>1</v>
      </c>
      <c r="BT24" s="9">
        <v>0</v>
      </c>
      <c r="BU24" s="9">
        <v>0</v>
      </c>
      <c r="BV24" s="9">
        <v>0</v>
      </c>
      <c r="BW24" s="9">
        <v>0</v>
      </c>
      <c r="BX24" s="9">
        <v>2</v>
      </c>
      <c r="BY24" s="9">
        <v>1</v>
      </c>
      <c r="BZ24" s="9">
        <v>8</v>
      </c>
      <c r="CA24" s="9">
        <v>8</v>
      </c>
      <c r="CB24" s="9"/>
      <c r="CC24" s="9"/>
      <c r="CD24" s="9"/>
      <c r="CE24" s="9"/>
      <c r="CF24" s="9"/>
      <c r="CG24" s="9"/>
      <c r="CH24" s="14">
        <v>0.38775510204081598</v>
      </c>
      <c r="CI24" s="9">
        <v>53</v>
      </c>
      <c r="CJ24" s="9">
        <v>48</v>
      </c>
      <c r="CK24" s="9">
        <v>26</v>
      </c>
      <c r="CL24" s="9">
        <v>35</v>
      </c>
      <c r="CM24" s="9">
        <v>24</v>
      </c>
      <c r="CN24" s="9">
        <v>92</v>
      </c>
      <c r="CO24" s="18">
        <v>0</v>
      </c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</row>
    <row r="25" spans="1:113" ht="16" x14ac:dyDescent="0.2">
      <c r="A25" s="9">
        <v>890037</v>
      </c>
      <c r="B25" s="9">
        <v>1</v>
      </c>
      <c r="C25" s="9" t="s">
        <v>131</v>
      </c>
      <c r="D25" s="9">
        <v>1</v>
      </c>
      <c r="E25" s="9">
        <v>6.3764235290000002</v>
      </c>
      <c r="F25" s="9">
        <v>0.51440828400000005</v>
      </c>
      <c r="G25" s="9">
        <v>41.967391300000003</v>
      </c>
      <c r="H25" s="9">
        <v>48.343814829999999</v>
      </c>
      <c r="I25" s="9">
        <v>2.768923858</v>
      </c>
      <c r="J25" s="9">
        <v>0.83099683499999999</v>
      </c>
      <c r="K25" s="9">
        <v>0.120281046</v>
      </c>
      <c r="L25" s="9">
        <v>1.748785714</v>
      </c>
      <c r="M25" s="9">
        <v>0.12564835199999999</v>
      </c>
      <c r="N25" s="9">
        <v>249.6538462</v>
      </c>
      <c r="O25" s="9">
        <v>0</v>
      </c>
      <c r="P25" s="9">
        <v>36</v>
      </c>
      <c r="Q25" s="9">
        <v>1</v>
      </c>
      <c r="R25" s="9" t="s">
        <v>93</v>
      </c>
      <c r="S25" s="9">
        <v>22.8</v>
      </c>
      <c r="T25" s="9">
        <v>26</v>
      </c>
      <c r="U25" s="9">
        <v>0</v>
      </c>
      <c r="V25" s="9">
        <v>0</v>
      </c>
      <c r="W25" s="9">
        <v>0</v>
      </c>
      <c r="X25" s="9">
        <v>26</v>
      </c>
      <c r="Y25" s="9">
        <v>10</v>
      </c>
      <c r="Z25" s="9">
        <v>29</v>
      </c>
      <c r="AA25" s="9">
        <v>15</v>
      </c>
      <c r="AB25" s="9">
        <v>26</v>
      </c>
      <c r="AC25" s="9">
        <v>106</v>
      </c>
      <c r="AD25" s="9">
        <v>15</v>
      </c>
      <c r="AE25" s="9">
        <v>18</v>
      </c>
      <c r="AF25" s="9">
        <v>14</v>
      </c>
      <c r="AG25" s="9">
        <v>10</v>
      </c>
      <c r="AH25" s="9">
        <v>19</v>
      </c>
      <c r="AI25" s="9">
        <v>76</v>
      </c>
      <c r="AJ25" s="9">
        <v>27</v>
      </c>
      <c r="AK25" s="9">
        <v>5</v>
      </c>
      <c r="AL25" s="9">
        <v>53.7</v>
      </c>
      <c r="AM25" s="9">
        <v>62.1</v>
      </c>
      <c r="AN25" s="9">
        <v>61.5</v>
      </c>
      <c r="AO25" s="9">
        <v>61.9</v>
      </c>
      <c r="AP25" s="9"/>
      <c r="AQ25" s="9">
        <v>50.9</v>
      </c>
      <c r="AR25" s="9">
        <v>54.5</v>
      </c>
      <c r="AS25" s="9">
        <v>52.3</v>
      </c>
      <c r="AT25" s="9">
        <v>34.9</v>
      </c>
      <c r="AU25" s="9">
        <v>43.5</v>
      </c>
      <c r="AV25" s="9">
        <v>26</v>
      </c>
      <c r="AW25" s="9">
        <v>14</v>
      </c>
      <c r="AX25" s="9">
        <v>8</v>
      </c>
      <c r="AY25" s="9">
        <v>22</v>
      </c>
      <c r="AZ25" s="9">
        <v>34.57</v>
      </c>
      <c r="BA25" s="9">
        <v>30.21</v>
      </c>
      <c r="BB25" s="9">
        <v>38.21</v>
      </c>
      <c r="BC25" s="9">
        <v>30.84</v>
      </c>
      <c r="BD25" s="9">
        <v>34.770000000000003</v>
      </c>
      <c r="BE25" s="9">
        <v>27.26</v>
      </c>
      <c r="BF25" s="9">
        <v>52.69</v>
      </c>
      <c r="BG25" s="9">
        <v>48.25</v>
      </c>
      <c r="BH25" s="9">
        <v>27.59</v>
      </c>
      <c r="BI25" s="9">
        <v>48.06</v>
      </c>
      <c r="BJ25" s="9">
        <v>1.6</v>
      </c>
      <c r="BK25" s="9">
        <v>1</v>
      </c>
      <c r="BL25" s="9">
        <v>2</v>
      </c>
      <c r="BM25" s="9">
        <v>1</v>
      </c>
      <c r="BN25" s="9">
        <v>2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1</v>
      </c>
      <c r="BW25" s="9">
        <v>2</v>
      </c>
      <c r="BX25" s="9">
        <v>2</v>
      </c>
      <c r="BY25" s="9">
        <v>0</v>
      </c>
      <c r="BZ25" s="9">
        <v>11</v>
      </c>
      <c r="CA25" s="9">
        <v>8</v>
      </c>
      <c r="CB25" s="9"/>
      <c r="CC25" s="9"/>
      <c r="CD25" s="9"/>
      <c r="CE25" s="9"/>
      <c r="CF25" s="9"/>
      <c r="CG25" s="9"/>
      <c r="CH25" s="14">
        <v>0.29090909090909101</v>
      </c>
      <c r="CI25" s="9">
        <v>34</v>
      </c>
      <c r="CJ25" s="9">
        <v>34</v>
      </c>
      <c r="CK25" s="9">
        <v>33</v>
      </c>
      <c r="CL25" s="9">
        <v>33</v>
      </c>
      <c r="CM25" s="9">
        <v>23</v>
      </c>
      <c r="CN25" s="9">
        <v>23</v>
      </c>
      <c r="CO25" s="18">
        <v>0</v>
      </c>
      <c r="CP25" s="9">
        <v>0</v>
      </c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</row>
    <row r="26" spans="1:113" ht="16" x14ac:dyDescent="0.2">
      <c r="A26" s="9">
        <v>890039</v>
      </c>
      <c r="B26" s="9">
        <v>1</v>
      </c>
      <c r="C26" s="9" t="s">
        <v>131</v>
      </c>
      <c r="D26" s="9">
        <v>1</v>
      </c>
      <c r="E26" s="9">
        <v>10.428570000000001</v>
      </c>
      <c r="F26" s="9">
        <v>1.36686</v>
      </c>
      <c r="G26" s="9">
        <v>49.9</v>
      </c>
      <c r="H26" s="9">
        <v>60.3</v>
      </c>
      <c r="I26" s="9">
        <v>4.0609099999999998</v>
      </c>
      <c r="J26" s="9">
        <v>0.80062999999999995</v>
      </c>
      <c r="K26" s="9">
        <v>0.62744999999999995</v>
      </c>
      <c r="L26" s="9">
        <v>1.75</v>
      </c>
      <c r="M26" s="9">
        <v>4.7620000000000003E-2</v>
      </c>
      <c r="N26" s="9">
        <v>198.4</v>
      </c>
      <c r="O26" s="9">
        <v>0</v>
      </c>
      <c r="P26" s="9">
        <v>49</v>
      </c>
      <c r="Q26" s="9">
        <v>0</v>
      </c>
      <c r="R26" s="9" t="s">
        <v>93</v>
      </c>
      <c r="S26" s="9">
        <v>26.5</v>
      </c>
      <c r="T26" s="9">
        <v>48</v>
      </c>
      <c r="U26" s="9">
        <v>0</v>
      </c>
      <c r="V26" s="9">
        <v>0</v>
      </c>
      <c r="W26" s="9">
        <v>0</v>
      </c>
      <c r="X26" s="9">
        <v>19</v>
      </c>
      <c r="Y26" s="9">
        <v>14</v>
      </c>
      <c r="Z26" s="9">
        <v>20</v>
      </c>
      <c r="AA26" s="9">
        <v>17</v>
      </c>
      <c r="AB26" s="9">
        <v>20</v>
      </c>
      <c r="AC26" s="9">
        <v>90</v>
      </c>
      <c r="AD26" s="9">
        <v>12</v>
      </c>
      <c r="AE26" s="9">
        <v>10</v>
      </c>
      <c r="AF26" s="9">
        <v>9</v>
      </c>
      <c r="AG26" s="9">
        <v>9</v>
      </c>
      <c r="AH26" s="9">
        <v>10</v>
      </c>
      <c r="AI26" s="9">
        <v>50</v>
      </c>
      <c r="AJ26" s="9">
        <v>24</v>
      </c>
      <c r="AK26" s="9">
        <v>4</v>
      </c>
      <c r="AL26" s="9">
        <v>51.3</v>
      </c>
      <c r="AM26" s="9">
        <v>58.8</v>
      </c>
      <c r="AN26" s="9">
        <v>58.6</v>
      </c>
      <c r="AO26" s="9">
        <v>57.3</v>
      </c>
      <c r="AP26" s="9">
        <v>51</v>
      </c>
      <c r="AQ26" s="9">
        <v>56.8</v>
      </c>
      <c r="AR26" s="9">
        <v>54.3</v>
      </c>
      <c r="AS26" s="9">
        <v>57</v>
      </c>
      <c r="AT26" s="9">
        <v>47.7</v>
      </c>
      <c r="AU26" s="9">
        <v>45.8</v>
      </c>
      <c r="AV26" s="9">
        <v>28</v>
      </c>
      <c r="AW26" s="9">
        <v>3</v>
      </c>
      <c r="AX26" s="9">
        <v>5</v>
      </c>
      <c r="AY26" s="9">
        <v>8</v>
      </c>
      <c r="AZ26" s="9">
        <v>53.71</v>
      </c>
      <c r="BA26" s="9">
        <v>39.19</v>
      </c>
      <c r="BB26" s="9">
        <v>42.64</v>
      </c>
      <c r="BC26" s="9">
        <v>40.35</v>
      </c>
      <c r="BD26" s="9">
        <v>49.63</v>
      </c>
      <c r="BE26" s="9">
        <v>42.3</v>
      </c>
      <c r="BF26" s="9">
        <v>52.69</v>
      </c>
      <c r="BG26" s="9">
        <v>48.25</v>
      </c>
      <c r="BH26" s="9">
        <v>42.95</v>
      </c>
      <c r="BI26" s="9">
        <v>49.51</v>
      </c>
      <c r="BJ26" s="9">
        <v>1.5</v>
      </c>
      <c r="BK26" s="9">
        <v>1</v>
      </c>
      <c r="BL26" s="9">
        <v>1</v>
      </c>
      <c r="BM26" s="9">
        <v>0</v>
      </c>
      <c r="BN26" s="9"/>
      <c r="BO26" s="9">
        <v>2</v>
      </c>
      <c r="BP26" s="9">
        <v>0</v>
      </c>
      <c r="BQ26" s="9">
        <v>0</v>
      </c>
      <c r="BR26" s="9">
        <v>0</v>
      </c>
      <c r="BS26" s="9">
        <v>0</v>
      </c>
      <c r="BT26" s="9">
        <v>1</v>
      </c>
      <c r="BU26" s="9">
        <v>0</v>
      </c>
      <c r="BV26" s="9">
        <v>0</v>
      </c>
      <c r="BW26" s="9">
        <v>1</v>
      </c>
      <c r="BX26" s="9">
        <v>1</v>
      </c>
      <c r="BY26" s="9">
        <v>1</v>
      </c>
      <c r="BZ26" s="9">
        <v>8</v>
      </c>
      <c r="CA26" s="9">
        <v>6</v>
      </c>
      <c r="CB26" s="9"/>
      <c r="CC26" s="9"/>
      <c r="CD26" s="9"/>
      <c r="CE26" s="9"/>
      <c r="CF26" s="9"/>
      <c r="CG26" s="9"/>
      <c r="CH26" s="14"/>
      <c r="CI26" s="9">
        <v>53</v>
      </c>
      <c r="CJ26" s="9">
        <v>58.5</v>
      </c>
      <c r="CK26" s="9">
        <v>46</v>
      </c>
      <c r="CL26" s="9">
        <v>48</v>
      </c>
      <c r="CM26" s="9">
        <v>45</v>
      </c>
      <c r="CN26" s="9">
        <v>38</v>
      </c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</row>
    <row r="27" spans="1:113" ht="16" x14ac:dyDescent="0.2">
      <c r="A27" s="9">
        <v>890040</v>
      </c>
      <c r="B27" s="9">
        <v>1</v>
      </c>
      <c r="C27" s="9" t="s">
        <v>131</v>
      </c>
      <c r="D27" s="9">
        <v>1</v>
      </c>
      <c r="E27" s="9">
        <v>10.8619</v>
      </c>
      <c r="F27" s="9">
        <v>0.72823000000000004</v>
      </c>
      <c r="G27" s="9">
        <v>60.6</v>
      </c>
      <c r="H27" s="9">
        <v>71.5</v>
      </c>
      <c r="I27" s="9">
        <v>3.1309</v>
      </c>
      <c r="J27" s="9">
        <v>1.1538900000000001</v>
      </c>
      <c r="K27" s="9">
        <v>4.4819999999999999E-2</v>
      </c>
      <c r="L27" s="9">
        <v>2.1299399999999999</v>
      </c>
      <c r="M27" s="9">
        <v>0.11821</v>
      </c>
      <c r="N27" s="9">
        <v>271.89999999999998</v>
      </c>
      <c r="O27" s="9">
        <v>0</v>
      </c>
      <c r="P27" s="9">
        <v>60</v>
      </c>
      <c r="Q27" s="9">
        <v>1</v>
      </c>
      <c r="R27" s="9" t="s">
        <v>93</v>
      </c>
      <c r="S27" s="9">
        <v>26.1</v>
      </c>
      <c r="T27" s="9">
        <v>31</v>
      </c>
      <c r="U27" s="9">
        <v>0</v>
      </c>
      <c r="V27" s="9">
        <v>0</v>
      </c>
      <c r="W27" s="9">
        <v>0</v>
      </c>
      <c r="X27" s="9">
        <v>25</v>
      </c>
      <c r="Y27" s="9">
        <v>13</v>
      </c>
      <c r="Z27" s="9">
        <v>19</v>
      </c>
      <c r="AA27" s="9">
        <v>15</v>
      </c>
      <c r="AB27" s="9">
        <v>18</v>
      </c>
      <c r="AC27" s="9">
        <v>90</v>
      </c>
      <c r="AD27" s="9">
        <v>17</v>
      </c>
      <c r="AE27" s="9">
        <v>13</v>
      </c>
      <c r="AF27" s="9">
        <v>17</v>
      </c>
      <c r="AG27" s="9">
        <v>10</v>
      </c>
      <c r="AH27" s="9">
        <v>14</v>
      </c>
      <c r="AI27" s="9">
        <v>71</v>
      </c>
      <c r="AJ27" s="9">
        <v>30</v>
      </c>
      <c r="AK27" s="9">
        <v>5</v>
      </c>
      <c r="AL27" s="9">
        <v>49.9</v>
      </c>
      <c r="AM27" s="9">
        <v>66.900000000000006</v>
      </c>
      <c r="AN27" s="9">
        <v>65.3</v>
      </c>
      <c r="AO27" s="9">
        <v>64.599999999999994</v>
      </c>
      <c r="AP27" s="9">
        <v>66.5</v>
      </c>
      <c r="AQ27" s="9">
        <v>64.7</v>
      </c>
      <c r="AR27" s="9">
        <v>60.3</v>
      </c>
      <c r="AS27" s="9">
        <v>56.2</v>
      </c>
      <c r="AT27" s="9">
        <v>34.9</v>
      </c>
      <c r="AU27" s="9">
        <v>38.799999999999997</v>
      </c>
      <c r="AV27" s="9">
        <v>30</v>
      </c>
      <c r="AW27" s="9">
        <v>0</v>
      </c>
      <c r="AX27" s="9">
        <v>9</v>
      </c>
      <c r="AY27" s="9">
        <v>9</v>
      </c>
      <c r="AZ27" s="9">
        <v>25.01</v>
      </c>
      <c r="BA27" s="9">
        <v>27.96</v>
      </c>
      <c r="BB27" s="9">
        <v>38.21</v>
      </c>
      <c r="BC27" s="9">
        <v>47.48</v>
      </c>
      <c r="BD27" s="9">
        <v>31.8</v>
      </c>
      <c r="BE27" s="9">
        <v>32.270000000000003</v>
      </c>
      <c r="BF27" s="9">
        <v>35.28</v>
      </c>
      <c r="BG27" s="9">
        <v>40.4</v>
      </c>
      <c r="BH27" s="9">
        <v>31.85</v>
      </c>
      <c r="BI27" s="9">
        <v>39.549999999999997</v>
      </c>
      <c r="BJ27" s="9">
        <v>1.9</v>
      </c>
      <c r="BK27" s="9">
        <v>0</v>
      </c>
      <c r="BL27" s="9">
        <v>0</v>
      </c>
      <c r="BM27" s="9">
        <v>0</v>
      </c>
      <c r="BN27" s="9">
        <v>0</v>
      </c>
      <c r="BO27" s="9">
        <v>2</v>
      </c>
      <c r="BP27" s="9">
        <v>0</v>
      </c>
      <c r="BQ27" s="9">
        <v>0</v>
      </c>
      <c r="BR27" s="9">
        <v>0</v>
      </c>
      <c r="BS27" s="9">
        <v>0</v>
      </c>
      <c r="BT27" s="9">
        <v>1</v>
      </c>
      <c r="BU27" s="9">
        <v>0</v>
      </c>
      <c r="BV27" s="9">
        <v>0</v>
      </c>
      <c r="BW27" s="9">
        <v>2</v>
      </c>
      <c r="BX27" s="9">
        <v>2</v>
      </c>
      <c r="BY27" s="9">
        <v>2</v>
      </c>
      <c r="BZ27" s="9">
        <v>9</v>
      </c>
      <c r="CA27" s="9">
        <v>13</v>
      </c>
      <c r="CB27" s="9"/>
      <c r="CC27" s="9"/>
      <c r="CD27" s="9"/>
      <c r="CE27" s="9"/>
      <c r="CF27" s="9"/>
      <c r="CG27" s="9"/>
      <c r="CH27" s="14"/>
      <c r="CI27" s="9">
        <v>33</v>
      </c>
      <c r="CJ27" s="9">
        <v>36</v>
      </c>
      <c r="CK27" s="9">
        <v>32</v>
      </c>
      <c r="CL27" s="9">
        <v>33</v>
      </c>
      <c r="CM27" s="9">
        <v>69</v>
      </c>
      <c r="CN27" s="9">
        <v>75</v>
      </c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</row>
    <row r="28" spans="1:113" ht="16" x14ac:dyDescent="0.2">
      <c r="A28" s="9">
        <v>890041</v>
      </c>
      <c r="B28" s="9">
        <v>1</v>
      </c>
      <c r="C28" s="9" t="s">
        <v>131</v>
      </c>
      <c r="D28" s="9">
        <v>1</v>
      </c>
      <c r="E28" s="9">
        <v>5.4366099999999999</v>
      </c>
      <c r="F28" s="9">
        <v>1.70885</v>
      </c>
      <c r="G28" s="9">
        <v>36.5</v>
      </c>
      <c r="H28" s="9">
        <v>41.9</v>
      </c>
      <c r="I28" s="9">
        <v>3.0978599999999998</v>
      </c>
      <c r="J28" s="9">
        <v>0.65742999999999996</v>
      </c>
      <c r="K28" s="9">
        <v>0.25506000000000001</v>
      </c>
      <c r="L28" s="9">
        <v>1.6258300000000001</v>
      </c>
      <c r="M28" s="9">
        <v>4.7419999999999997E-2</v>
      </c>
      <c r="N28" s="9">
        <v>213.5</v>
      </c>
      <c r="O28" s="9">
        <v>1</v>
      </c>
      <c r="P28" s="9">
        <v>41</v>
      </c>
      <c r="Q28" s="9">
        <v>1</v>
      </c>
      <c r="R28" s="9" t="s">
        <v>93</v>
      </c>
      <c r="S28" s="9">
        <v>31.1</v>
      </c>
      <c r="T28" s="9">
        <v>37</v>
      </c>
      <c r="U28" s="9">
        <v>1</v>
      </c>
      <c r="V28" s="9">
        <v>1</v>
      </c>
      <c r="W28" s="9">
        <v>1</v>
      </c>
      <c r="X28" s="9">
        <v>25</v>
      </c>
      <c r="Y28" s="9">
        <v>20</v>
      </c>
      <c r="Z28" s="9">
        <v>29</v>
      </c>
      <c r="AA28" s="9">
        <v>29</v>
      </c>
      <c r="AB28" s="9">
        <v>24</v>
      </c>
      <c r="AC28" s="9">
        <v>127</v>
      </c>
      <c r="AD28" s="9">
        <v>20</v>
      </c>
      <c r="AE28" s="9">
        <v>19</v>
      </c>
      <c r="AF28" s="9">
        <v>17</v>
      </c>
      <c r="AG28" s="9">
        <v>14</v>
      </c>
      <c r="AH28" s="9">
        <v>18</v>
      </c>
      <c r="AI28" s="9">
        <v>88</v>
      </c>
      <c r="AJ28" s="9">
        <v>27</v>
      </c>
      <c r="AK28" s="9">
        <v>5</v>
      </c>
      <c r="AL28" s="9">
        <v>52.3</v>
      </c>
      <c r="AM28" s="9">
        <v>68.3</v>
      </c>
      <c r="AN28" s="9">
        <v>67.599999999999994</v>
      </c>
      <c r="AO28" s="9">
        <v>64.3</v>
      </c>
      <c r="AP28" s="9">
        <v>72.5</v>
      </c>
      <c r="AQ28" s="9">
        <v>60.2</v>
      </c>
      <c r="AR28" s="9">
        <v>51</v>
      </c>
      <c r="AS28" s="9">
        <v>57.9</v>
      </c>
      <c r="AT28" s="9">
        <v>32.4</v>
      </c>
      <c r="AU28" s="9">
        <v>41.1</v>
      </c>
      <c r="AV28" s="9">
        <v>27</v>
      </c>
      <c r="AW28" s="9">
        <v>12</v>
      </c>
      <c r="AX28" s="9">
        <v>9</v>
      </c>
      <c r="AY28" s="9">
        <v>21</v>
      </c>
      <c r="AZ28" s="9">
        <v>30.75</v>
      </c>
      <c r="BA28" s="9">
        <v>21.23</v>
      </c>
      <c r="BB28" s="9">
        <v>34.18</v>
      </c>
      <c r="BC28" s="9">
        <v>33.22</v>
      </c>
      <c r="BD28" s="9">
        <v>25.86</v>
      </c>
      <c r="BE28" s="9">
        <v>22.25</v>
      </c>
      <c r="BF28" s="9">
        <v>45.72</v>
      </c>
      <c r="BG28" s="9">
        <v>48.25</v>
      </c>
      <c r="BH28" s="9">
        <v>23.24</v>
      </c>
      <c r="BI28" s="9">
        <v>43.93</v>
      </c>
      <c r="BJ28" s="9">
        <v>2</v>
      </c>
      <c r="BK28" s="9">
        <v>2</v>
      </c>
      <c r="BL28" s="9">
        <v>1</v>
      </c>
      <c r="BM28" s="9">
        <v>1</v>
      </c>
      <c r="BN28" s="9">
        <v>1</v>
      </c>
      <c r="BO28" s="9">
        <v>2</v>
      </c>
      <c r="BP28" s="9">
        <v>0</v>
      </c>
      <c r="BQ28" s="9">
        <v>1</v>
      </c>
      <c r="BR28" s="9">
        <v>0</v>
      </c>
      <c r="BS28" s="9">
        <v>1</v>
      </c>
      <c r="BT28" s="9">
        <v>1</v>
      </c>
      <c r="BU28" s="9">
        <v>1</v>
      </c>
      <c r="BV28" s="9">
        <v>2</v>
      </c>
      <c r="BW28" s="9">
        <v>2</v>
      </c>
      <c r="BX28" s="9">
        <v>2</v>
      </c>
      <c r="BY28" s="9">
        <v>2</v>
      </c>
      <c r="BZ28" s="9">
        <v>19</v>
      </c>
      <c r="CA28" s="9">
        <v>15</v>
      </c>
      <c r="CB28" s="9"/>
      <c r="CC28" s="9"/>
      <c r="CD28" s="9"/>
      <c r="CE28" s="9"/>
      <c r="CF28" s="9"/>
      <c r="CG28" s="9"/>
      <c r="CH28" s="14"/>
      <c r="CI28" s="9">
        <v>20</v>
      </c>
      <c r="CJ28" s="9">
        <v>16</v>
      </c>
      <c r="CK28" s="9">
        <v>11</v>
      </c>
      <c r="CL28" s="9">
        <v>16</v>
      </c>
      <c r="CM28" s="9">
        <v>7</v>
      </c>
      <c r="CN28" s="9">
        <v>64</v>
      </c>
      <c r="CO28" s="9">
        <v>0</v>
      </c>
      <c r="CP28" s="9">
        <v>0</v>
      </c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</row>
    <row r="29" spans="1:113" ht="16" x14ac:dyDescent="0.2">
      <c r="A29" s="9">
        <v>7110005</v>
      </c>
      <c r="B29" s="9">
        <v>1</v>
      </c>
      <c r="C29" s="9" t="s">
        <v>131</v>
      </c>
      <c r="D29" s="9">
        <v>1</v>
      </c>
      <c r="E29" s="9">
        <v>4.6117600000000003</v>
      </c>
      <c r="F29" s="9">
        <v>1.10059</v>
      </c>
      <c r="G29" s="9">
        <v>33.799999999999997</v>
      </c>
      <c r="H29" s="9">
        <v>38.4</v>
      </c>
      <c r="I29" s="9">
        <v>2.65482</v>
      </c>
      <c r="J29" s="9">
        <v>0.61392000000000002</v>
      </c>
      <c r="K29" s="9">
        <v>0.12353</v>
      </c>
      <c r="L29" s="9">
        <v>1.51176</v>
      </c>
      <c r="M29" s="9">
        <v>5.4949999999999999E-2</v>
      </c>
      <c r="N29" s="9">
        <v>207.8</v>
      </c>
      <c r="O29" s="9">
        <v>1</v>
      </c>
      <c r="P29" s="9">
        <v>57</v>
      </c>
      <c r="Q29" s="9">
        <v>1</v>
      </c>
      <c r="R29" s="9" t="s">
        <v>93</v>
      </c>
      <c r="S29" s="9">
        <v>21.2</v>
      </c>
      <c r="T29" s="9">
        <v>39</v>
      </c>
      <c r="U29" s="9">
        <v>0</v>
      </c>
      <c r="V29" s="9">
        <v>0</v>
      </c>
      <c r="W29" s="9">
        <v>0</v>
      </c>
      <c r="X29" s="9"/>
      <c r="Y29" s="9"/>
      <c r="Z29" s="9"/>
      <c r="AA29" s="9"/>
      <c r="AB29" s="9"/>
      <c r="AC29" s="9"/>
      <c r="AD29" s="9">
        <v>17</v>
      </c>
      <c r="AE29" s="9">
        <v>16</v>
      </c>
      <c r="AF29" s="9">
        <v>15</v>
      </c>
      <c r="AG29" s="9">
        <v>8</v>
      </c>
      <c r="AH29" s="9">
        <v>5</v>
      </c>
      <c r="AI29" s="9">
        <v>61</v>
      </c>
      <c r="AJ29" s="9"/>
      <c r="AK29" s="9"/>
      <c r="AL29" s="9"/>
      <c r="AM29" s="9">
        <v>56.8</v>
      </c>
      <c r="AN29" s="9">
        <v>59.6</v>
      </c>
      <c r="AO29" s="9"/>
      <c r="AP29" s="9"/>
      <c r="AQ29" s="9">
        <v>45.6</v>
      </c>
      <c r="AR29" s="9">
        <v>52.3</v>
      </c>
      <c r="AS29" s="9">
        <v>46</v>
      </c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14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</row>
    <row r="30" spans="1:113" ht="16" x14ac:dyDescent="0.2">
      <c r="A30" s="19" t="s">
        <v>138</v>
      </c>
      <c r="B30" s="9">
        <v>1</v>
      </c>
      <c r="C30" s="9" t="s">
        <v>135</v>
      </c>
      <c r="D30" s="9">
        <v>1</v>
      </c>
      <c r="E30" s="9">
        <v>9.2997899999999998</v>
      </c>
      <c r="F30" s="9">
        <v>0.37923000000000001</v>
      </c>
      <c r="G30" s="9">
        <v>41.1</v>
      </c>
      <c r="H30" s="9">
        <v>50.4</v>
      </c>
      <c r="I30" s="9">
        <v>3.47553</v>
      </c>
      <c r="J30" s="9">
        <v>0.63370000000000004</v>
      </c>
      <c r="K30" s="9">
        <v>1.7850000000000001E-2</v>
      </c>
      <c r="L30" s="9">
        <v>2.2271800000000002</v>
      </c>
      <c r="M30" s="9">
        <v>7.7109999999999998E-2</v>
      </c>
      <c r="N30" s="9">
        <v>284.2</v>
      </c>
      <c r="O30" s="9"/>
      <c r="P30" s="9">
        <v>45</v>
      </c>
      <c r="Q30" s="9">
        <v>1</v>
      </c>
      <c r="R30" s="9" t="s">
        <v>93</v>
      </c>
      <c r="S30" s="9">
        <v>29</v>
      </c>
      <c r="T30" s="9">
        <v>9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18">
        <v>0</v>
      </c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</row>
    <row r="31" spans="1:113" ht="16" x14ac:dyDescent="0.2">
      <c r="A31" s="19" t="s">
        <v>145</v>
      </c>
      <c r="B31" s="9">
        <v>1</v>
      </c>
      <c r="C31" s="9" t="s">
        <v>135</v>
      </c>
      <c r="D31" s="9">
        <v>1</v>
      </c>
      <c r="E31" s="9">
        <v>7.1323400000000001</v>
      </c>
      <c r="F31" s="9">
        <v>0.48443999999999998</v>
      </c>
      <c r="G31" s="9"/>
      <c r="H31" s="9"/>
      <c r="I31" s="9">
        <v>2.3498800000000002</v>
      </c>
      <c r="J31" s="9">
        <v>0.97604000000000002</v>
      </c>
      <c r="K31" s="9">
        <v>1.9040000000000001E-2</v>
      </c>
      <c r="L31" s="9">
        <v>0.79400999999999999</v>
      </c>
      <c r="M31" s="9">
        <v>0.11670999999999999</v>
      </c>
      <c r="N31" s="9"/>
      <c r="O31" s="9"/>
      <c r="P31" s="9">
        <v>42</v>
      </c>
      <c r="Q31" s="9">
        <v>1</v>
      </c>
      <c r="R31" s="9" t="s">
        <v>93</v>
      </c>
      <c r="S31" s="9">
        <v>22.8</v>
      </c>
      <c r="T31" s="9">
        <v>9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18">
        <v>0</v>
      </c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</row>
    <row r="32" spans="1:113" ht="16" x14ac:dyDescent="0.2">
      <c r="A32" s="19" t="s">
        <v>140</v>
      </c>
      <c r="B32" s="9">
        <v>1</v>
      </c>
      <c r="C32" s="9" t="s">
        <v>135</v>
      </c>
      <c r="D32" s="9">
        <v>1</v>
      </c>
      <c r="E32" s="9">
        <v>15.08051</v>
      </c>
      <c r="F32" s="9">
        <v>0.42915999999999999</v>
      </c>
      <c r="G32" s="9">
        <v>51.5</v>
      </c>
      <c r="H32" s="9">
        <v>66.599999999999994</v>
      </c>
      <c r="I32" s="9">
        <v>6.7156099999999999</v>
      </c>
      <c r="J32" s="9">
        <v>1.19042</v>
      </c>
      <c r="K32" s="9">
        <v>2.2589999999999999E-2</v>
      </c>
      <c r="L32" s="9">
        <v>2.1401500000000002</v>
      </c>
      <c r="M32" s="9">
        <v>4.1050000000000003E-2</v>
      </c>
      <c r="N32" s="9">
        <v>130.1</v>
      </c>
      <c r="O32" s="9"/>
      <c r="P32" s="9">
        <v>63</v>
      </c>
      <c r="Q32" s="9">
        <v>1</v>
      </c>
      <c r="R32" s="9" t="s">
        <v>93</v>
      </c>
      <c r="S32" s="9">
        <v>33</v>
      </c>
      <c r="T32" s="9">
        <v>10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18">
        <v>0</v>
      </c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</row>
    <row r="33" spans="1:113" ht="16" x14ac:dyDescent="0.2">
      <c r="A33" s="19" t="s">
        <v>144</v>
      </c>
      <c r="B33" s="9">
        <v>1</v>
      </c>
      <c r="C33" s="9" t="s">
        <v>135</v>
      </c>
      <c r="D33" s="9">
        <v>1</v>
      </c>
      <c r="E33" s="9">
        <v>8.5058799999999994</v>
      </c>
      <c r="F33" s="9">
        <v>0.65088999999999997</v>
      </c>
      <c r="G33" s="9"/>
      <c r="H33" s="9"/>
      <c r="I33" s="9">
        <v>2.9340099999999998</v>
      </c>
      <c r="J33" s="9">
        <v>1.1867099999999999</v>
      </c>
      <c r="K33" s="9">
        <v>2.3529999999999999E-2</v>
      </c>
      <c r="L33" s="9">
        <v>0.80588000000000004</v>
      </c>
      <c r="M33" s="9">
        <v>5.4949999999999999E-2</v>
      </c>
      <c r="N33" s="9"/>
      <c r="O33" s="9"/>
      <c r="P33" s="9">
        <v>59</v>
      </c>
      <c r="Q33" s="9">
        <v>0</v>
      </c>
      <c r="R33" s="9" t="s">
        <v>93</v>
      </c>
      <c r="S33" s="9">
        <v>25.6</v>
      </c>
      <c r="T33" s="9">
        <v>8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18">
        <v>0</v>
      </c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</row>
    <row r="34" spans="1:113" ht="16" x14ac:dyDescent="0.2">
      <c r="A34" s="19" t="s">
        <v>137</v>
      </c>
      <c r="B34" s="9">
        <v>1</v>
      </c>
      <c r="C34" s="9" t="s">
        <v>135</v>
      </c>
      <c r="D34" s="9">
        <v>1</v>
      </c>
      <c r="E34" s="9">
        <v>8.6647099999999995</v>
      </c>
      <c r="F34" s="9">
        <v>0.52663000000000004</v>
      </c>
      <c r="G34" s="9">
        <v>40.799999999999997</v>
      </c>
      <c r="H34" s="9">
        <v>49.4</v>
      </c>
      <c r="I34" s="9">
        <v>2.8020299999999998</v>
      </c>
      <c r="J34" s="9">
        <v>0.64556999999999998</v>
      </c>
      <c r="K34" s="9">
        <v>2.9409999999999999E-2</v>
      </c>
      <c r="L34" s="9">
        <v>1.6352899999999999</v>
      </c>
      <c r="M34" s="9">
        <v>8.0589999999999995E-2</v>
      </c>
      <c r="N34" s="9">
        <v>188.2</v>
      </c>
      <c r="O34" s="9"/>
      <c r="P34" s="9">
        <v>34</v>
      </c>
      <c r="Q34" s="9">
        <v>1</v>
      </c>
      <c r="R34" s="9" t="s">
        <v>93</v>
      </c>
      <c r="S34" s="9">
        <v>28.2</v>
      </c>
      <c r="T34" s="9">
        <v>11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18">
        <v>0</v>
      </c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</row>
    <row r="35" spans="1:113" ht="16" x14ac:dyDescent="0.2">
      <c r="A35" s="19" t="s">
        <v>136</v>
      </c>
      <c r="B35" s="9">
        <v>1</v>
      </c>
      <c r="C35" s="9" t="s">
        <v>135</v>
      </c>
      <c r="D35" s="9">
        <v>1</v>
      </c>
      <c r="E35" s="9">
        <v>8.3176500000000004</v>
      </c>
      <c r="F35" s="9">
        <v>0.79290000000000005</v>
      </c>
      <c r="G35" s="9">
        <v>40.799999999999997</v>
      </c>
      <c r="H35" s="9">
        <v>49.1</v>
      </c>
      <c r="I35" s="9">
        <v>2.8375599999999999</v>
      </c>
      <c r="J35" s="9">
        <v>0.70569999999999999</v>
      </c>
      <c r="K35" s="9">
        <v>3.5290000000000002E-2</v>
      </c>
      <c r="L35" s="9">
        <v>2.0705900000000002</v>
      </c>
      <c r="M35" s="9">
        <v>6.2269999999999999E-2</v>
      </c>
      <c r="N35" s="9">
        <v>256.89999999999998</v>
      </c>
      <c r="O35" s="9"/>
      <c r="P35" s="9">
        <v>42</v>
      </c>
      <c r="Q35" s="9">
        <v>0</v>
      </c>
      <c r="R35" s="9" t="s">
        <v>93</v>
      </c>
      <c r="S35" s="9">
        <v>25.2</v>
      </c>
      <c r="T35" s="9">
        <v>4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18">
        <v>0</v>
      </c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</row>
    <row r="36" spans="1:113" ht="16" x14ac:dyDescent="0.2">
      <c r="A36" s="19" t="s">
        <v>141</v>
      </c>
      <c r="B36" s="9">
        <v>1</v>
      </c>
      <c r="C36" s="9" t="s">
        <v>135</v>
      </c>
      <c r="D36" s="9">
        <v>1</v>
      </c>
      <c r="E36" s="9">
        <v>13.87059</v>
      </c>
      <c r="F36" s="9">
        <v>2.1952699999999998</v>
      </c>
      <c r="G36" s="9">
        <v>58.8</v>
      </c>
      <c r="H36" s="9">
        <v>72.7</v>
      </c>
      <c r="I36" s="9">
        <v>4.6142099999999999</v>
      </c>
      <c r="J36" s="9">
        <v>0.51581999999999995</v>
      </c>
      <c r="K36" s="9">
        <v>7.6469999999999996E-2</v>
      </c>
      <c r="L36" s="9">
        <v>2.5705900000000002</v>
      </c>
      <c r="M36" s="9">
        <v>6.5930000000000002E-2</v>
      </c>
      <c r="N36" s="9">
        <v>311.2</v>
      </c>
      <c r="O36" s="9"/>
      <c r="P36" s="9">
        <v>34</v>
      </c>
      <c r="Q36" s="9">
        <v>1</v>
      </c>
      <c r="R36" s="9" t="s">
        <v>93</v>
      </c>
      <c r="S36" s="9">
        <v>31</v>
      </c>
      <c r="T36" s="9">
        <v>12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18">
        <v>0</v>
      </c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</row>
    <row r="37" spans="1:113" ht="16" x14ac:dyDescent="0.2">
      <c r="A37" s="19" t="s">
        <v>142</v>
      </c>
      <c r="B37" s="9">
        <v>1</v>
      </c>
      <c r="C37" s="9" t="s">
        <v>135</v>
      </c>
      <c r="D37" s="9">
        <v>1</v>
      </c>
      <c r="E37" s="9">
        <v>17.2</v>
      </c>
      <c r="F37" s="9">
        <v>1.2307699999999999</v>
      </c>
      <c r="G37" s="9">
        <v>67.900000000000006</v>
      </c>
      <c r="H37" s="9">
        <v>85.1</v>
      </c>
      <c r="I37" s="9">
        <v>3.43655</v>
      </c>
      <c r="J37" s="9">
        <v>0.72152000000000005</v>
      </c>
      <c r="K37" s="9">
        <v>7.6469999999999996E-2</v>
      </c>
      <c r="L37" s="9">
        <v>1.7</v>
      </c>
      <c r="M37" s="9">
        <v>7.3260000000000006E-2</v>
      </c>
      <c r="N37" s="9">
        <v>158.19999999999999</v>
      </c>
      <c r="O37" s="9"/>
      <c r="P37" s="9">
        <v>32</v>
      </c>
      <c r="Q37" s="9">
        <v>1</v>
      </c>
      <c r="R37" s="9" t="s">
        <v>93</v>
      </c>
      <c r="S37" s="9">
        <v>26.1</v>
      </c>
      <c r="T37" s="9">
        <v>9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18">
        <v>1</v>
      </c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</row>
    <row r="38" spans="1:113" ht="16" x14ac:dyDescent="0.2">
      <c r="A38" s="19" t="s">
        <v>139</v>
      </c>
      <c r="B38" s="9">
        <v>1</v>
      </c>
      <c r="C38" s="9" t="s">
        <v>135</v>
      </c>
      <c r="D38" s="9">
        <v>1</v>
      </c>
      <c r="E38" s="9">
        <v>12.81176</v>
      </c>
      <c r="F38" s="9">
        <v>1.4437899999999999</v>
      </c>
      <c r="G38" s="9">
        <v>45.8</v>
      </c>
      <c r="H38" s="9">
        <v>58.6</v>
      </c>
      <c r="I38" s="9">
        <v>3.4162400000000002</v>
      </c>
      <c r="J38" s="9">
        <v>1.0538000000000001</v>
      </c>
      <c r="K38" s="9">
        <v>8.2350000000000007E-2</v>
      </c>
      <c r="L38" s="9">
        <v>2.3470599999999999</v>
      </c>
      <c r="M38" s="9">
        <v>5.8610000000000002E-2</v>
      </c>
      <c r="N38" s="9">
        <v>337.6</v>
      </c>
      <c r="O38" s="9"/>
      <c r="P38" s="9">
        <v>48</v>
      </c>
      <c r="Q38" s="9">
        <v>1</v>
      </c>
      <c r="R38" s="9" t="s">
        <v>93</v>
      </c>
      <c r="S38" s="9">
        <v>33.700000000000003</v>
      </c>
      <c r="T38" s="9">
        <v>13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18">
        <v>0</v>
      </c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</row>
    <row r="39" spans="1:113" ht="16" x14ac:dyDescent="0.2">
      <c r="A39" s="19" t="s">
        <v>143</v>
      </c>
      <c r="B39" s="9">
        <v>1</v>
      </c>
      <c r="C39" s="9" t="s">
        <v>135</v>
      </c>
      <c r="D39" s="9">
        <v>1</v>
      </c>
      <c r="E39" s="9">
        <v>18.18824</v>
      </c>
      <c r="F39" s="9">
        <v>1.38462</v>
      </c>
      <c r="G39" s="9"/>
      <c r="H39" s="9"/>
      <c r="I39" s="9">
        <v>5.6903600000000001</v>
      </c>
      <c r="J39" s="9">
        <v>0.69620000000000004</v>
      </c>
      <c r="K39" s="9">
        <v>8.2350000000000007E-2</v>
      </c>
      <c r="L39" s="9">
        <v>3.2235299999999998</v>
      </c>
      <c r="M39" s="9">
        <v>6.9599999999999995E-2</v>
      </c>
      <c r="N39" s="9"/>
      <c r="O39" s="9"/>
      <c r="P39" s="9">
        <v>57</v>
      </c>
      <c r="Q39" s="9">
        <v>1</v>
      </c>
      <c r="R39" s="9" t="s">
        <v>93</v>
      </c>
      <c r="S39" s="9">
        <v>30.8</v>
      </c>
      <c r="T39" s="9">
        <v>4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18">
        <v>0</v>
      </c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</row>
    <row r="40" spans="1:113" ht="16" x14ac:dyDescent="0.2">
      <c r="A40" s="19" t="s">
        <v>200</v>
      </c>
      <c r="B40" s="9">
        <v>1</v>
      </c>
      <c r="C40" s="9" t="s">
        <v>135</v>
      </c>
      <c r="D40" s="9">
        <v>1</v>
      </c>
      <c r="E40" s="9">
        <v>5.6529400000000001</v>
      </c>
      <c r="F40" s="9">
        <v>1.36686</v>
      </c>
      <c r="G40" s="9">
        <v>47.4</v>
      </c>
      <c r="H40" s="9">
        <v>53</v>
      </c>
      <c r="I40" s="9">
        <v>2.8375599999999999</v>
      </c>
      <c r="J40" s="9">
        <v>0.48418</v>
      </c>
      <c r="K40" s="9">
        <v>0.32352999999999998</v>
      </c>
      <c r="L40" s="9">
        <v>2.3764699999999999</v>
      </c>
      <c r="M40" s="9">
        <v>7.6920000000000002E-2</v>
      </c>
      <c r="N40" s="9">
        <v>174.6</v>
      </c>
      <c r="O40" s="9"/>
      <c r="P40" s="9">
        <v>37</v>
      </c>
      <c r="Q40" s="9">
        <v>1</v>
      </c>
      <c r="R40" s="9" t="s">
        <v>93</v>
      </c>
      <c r="S40" s="9">
        <v>25.7</v>
      </c>
      <c r="T40" s="9">
        <v>5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18">
        <v>0</v>
      </c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</row>
    <row r="41" spans="1:113" ht="16" x14ac:dyDescent="0.2">
      <c r="A41" s="19" t="s">
        <v>201</v>
      </c>
      <c r="B41" s="9">
        <v>1</v>
      </c>
      <c r="C41" s="9" t="s">
        <v>135</v>
      </c>
      <c r="D41" s="9">
        <v>1</v>
      </c>
      <c r="E41" s="9">
        <v>8.4823500000000003</v>
      </c>
      <c r="F41" s="9">
        <v>1.2721899999999999</v>
      </c>
      <c r="G41" s="9">
        <v>39.700000000000003</v>
      </c>
      <c r="H41" s="9">
        <v>48.1</v>
      </c>
      <c r="I41" s="9">
        <v>2.9746199999999998</v>
      </c>
      <c r="J41" s="9">
        <v>0.77532000000000001</v>
      </c>
      <c r="K41" s="9"/>
      <c r="L41" s="9">
        <v>2.9705900000000001</v>
      </c>
      <c r="M41" s="9">
        <v>6.9599999999999995E-2</v>
      </c>
      <c r="N41" s="9">
        <v>353.1</v>
      </c>
      <c r="O41" s="9"/>
      <c r="P41" s="9">
        <v>51</v>
      </c>
      <c r="Q41" s="9">
        <v>1</v>
      </c>
      <c r="R41" s="9" t="s">
        <v>93</v>
      </c>
      <c r="S41" s="9">
        <v>47.2</v>
      </c>
      <c r="T41" s="9">
        <v>12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18">
        <v>0</v>
      </c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</row>
    <row r="42" spans="1:113" ht="16" x14ac:dyDescent="0.2">
      <c r="A42" s="20" t="s">
        <v>151</v>
      </c>
      <c r="B42" s="9">
        <v>0</v>
      </c>
      <c r="C42" s="21" t="s">
        <v>147</v>
      </c>
      <c r="D42" s="9">
        <v>1</v>
      </c>
      <c r="E42" s="8">
        <v>9.4</v>
      </c>
      <c r="F42" s="8">
        <v>1.3257278106508876</v>
      </c>
      <c r="G42" s="8">
        <v>47.896739130434781</v>
      </c>
      <c r="H42" s="8">
        <v>57.29673913043478</v>
      </c>
      <c r="I42" s="8">
        <v>3.5477360406091369</v>
      </c>
      <c r="J42" s="8">
        <v>1.4084018987341773</v>
      </c>
      <c r="K42" s="8">
        <v>3.9163398692810457E-2</v>
      </c>
      <c r="L42" s="8">
        <v>1.8300654761904762</v>
      </c>
      <c r="M42" s="8">
        <v>0.22468750000000001</v>
      </c>
      <c r="N42" s="12">
        <v>300.52747252747253</v>
      </c>
      <c r="O42" s="13">
        <v>0</v>
      </c>
      <c r="P42" s="11">
        <v>59.178644763860369</v>
      </c>
      <c r="Q42" s="9">
        <v>0</v>
      </c>
      <c r="R42" s="11" t="s">
        <v>93</v>
      </c>
      <c r="S42" s="9">
        <v>26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</row>
    <row r="43" spans="1:113" ht="16" x14ac:dyDescent="0.2">
      <c r="A43" s="20" t="s">
        <v>150</v>
      </c>
      <c r="B43" s="9">
        <v>0</v>
      </c>
      <c r="C43" s="21" t="s">
        <v>147</v>
      </c>
      <c r="D43" s="9">
        <v>1</v>
      </c>
      <c r="E43" s="8">
        <v>9.7285588235294114</v>
      </c>
      <c r="F43" s="8">
        <v>0.72928994082840237</v>
      </c>
      <c r="G43" s="8">
        <v>47.869565217391305</v>
      </c>
      <c r="H43" s="8">
        <v>57.598124040920716</v>
      </c>
      <c r="I43" s="8">
        <v>3.2518426395939088</v>
      </c>
      <c r="J43" s="8">
        <v>0.57381329113924051</v>
      </c>
      <c r="K43" s="22">
        <v>3.9215686274509803E-2</v>
      </c>
      <c r="L43" s="8">
        <v>1.3214285714285714</v>
      </c>
      <c r="M43" s="8">
        <v>5.7011029411764703E-2</v>
      </c>
      <c r="N43" s="12">
        <v>150.79120879120879</v>
      </c>
      <c r="O43" s="13">
        <v>0</v>
      </c>
      <c r="P43" s="11">
        <v>52.670773442847363</v>
      </c>
      <c r="Q43" s="9">
        <v>0</v>
      </c>
      <c r="R43" s="11" t="s">
        <v>93</v>
      </c>
      <c r="S43" s="9">
        <v>29.2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</row>
    <row r="44" spans="1:113" ht="16" x14ac:dyDescent="0.2">
      <c r="A44" s="20" t="s">
        <v>154</v>
      </c>
      <c r="B44" s="9">
        <v>0</v>
      </c>
      <c r="C44" s="21" t="s">
        <v>147</v>
      </c>
      <c r="D44" s="9">
        <v>1</v>
      </c>
      <c r="E44" s="8">
        <v>13.382388235294117</v>
      </c>
      <c r="F44" s="8">
        <v>0.68693491124260353</v>
      </c>
      <c r="G44" s="8">
        <v>60.010869565217391</v>
      </c>
      <c r="H44" s="8">
        <v>73.393257800511506</v>
      </c>
      <c r="I44" s="8">
        <v>3.609761421319797</v>
      </c>
      <c r="J44" s="8">
        <v>0.92145253164556951</v>
      </c>
      <c r="K44" s="8">
        <v>3.9921568627450998E-2</v>
      </c>
      <c r="L44" s="8">
        <v>0.84544047619047613</v>
      </c>
      <c r="M44" s="8">
        <v>5.3338235294117645E-2</v>
      </c>
      <c r="N44" s="12">
        <v>94.884615384615387</v>
      </c>
      <c r="O44" s="13">
        <v>0</v>
      </c>
      <c r="P44" s="11">
        <v>59.950718685831625</v>
      </c>
      <c r="Q44" s="9">
        <v>0</v>
      </c>
      <c r="R44" s="11" t="s">
        <v>93</v>
      </c>
      <c r="S44" s="9">
        <v>22.3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</row>
    <row r="45" spans="1:113" ht="16" x14ac:dyDescent="0.2">
      <c r="A45" s="20" t="s">
        <v>164</v>
      </c>
      <c r="B45" s="9">
        <v>0</v>
      </c>
      <c r="C45" s="21" t="s">
        <v>147</v>
      </c>
      <c r="D45" s="9">
        <v>1</v>
      </c>
      <c r="E45" s="8">
        <v>9.0933117647058825</v>
      </c>
      <c r="F45" s="8">
        <v>0.62833136094674558</v>
      </c>
      <c r="G45" s="23">
        <v>40.288043478260867</v>
      </c>
      <c r="H45" s="23">
        <v>49.381355242966748</v>
      </c>
      <c r="I45" s="8">
        <v>4.2444416243654821</v>
      </c>
      <c r="J45" s="8">
        <v>0.72282594936708866</v>
      </c>
      <c r="K45" s="8">
        <v>4.9594771241830066E-2</v>
      </c>
      <c r="L45" s="8">
        <v>1.3411428571428572</v>
      </c>
      <c r="M45" s="8">
        <v>4.3367647058823525E-2</v>
      </c>
      <c r="N45" s="12">
        <v>214.78021978021977</v>
      </c>
      <c r="O45" s="13">
        <v>0</v>
      </c>
      <c r="P45" s="11">
        <v>44.328542094455898</v>
      </c>
      <c r="Q45" s="9">
        <v>0</v>
      </c>
      <c r="R45" s="11" t="s">
        <v>93</v>
      </c>
      <c r="S45" s="9">
        <v>26.6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</row>
    <row r="46" spans="1:113" ht="16" x14ac:dyDescent="0.2">
      <c r="A46" s="20" t="s">
        <v>157</v>
      </c>
      <c r="B46" s="9">
        <v>0</v>
      </c>
      <c r="C46" s="21" t="s">
        <v>147</v>
      </c>
      <c r="D46" s="9">
        <v>1</v>
      </c>
      <c r="E46" s="8">
        <v>13.821676470588235</v>
      </c>
      <c r="F46" s="8">
        <v>1.975656804733728</v>
      </c>
      <c r="G46" s="8">
        <v>68.929347826086953</v>
      </c>
      <c r="H46" s="8">
        <v>82.751024296675183</v>
      </c>
      <c r="I46" s="8">
        <v>3.7968121827411165</v>
      </c>
      <c r="J46" s="8">
        <v>1.1652025316455696</v>
      </c>
      <c r="K46" s="8">
        <v>5.2287581699346407E-2</v>
      </c>
      <c r="L46" s="8">
        <v>1.4702380952380953</v>
      </c>
      <c r="M46" s="8">
        <v>4.987132352941176E-2</v>
      </c>
      <c r="N46" s="12">
        <v>97.901098901098905</v>
      </c>
      <c r="O46" s="13">
        <v>0</v>
      </c>
      <c r="P46" s="11">
        <v>52.985626283367559</v>
      </c>
      <c r="Q46" s="9">
        <v>0</v>
      </c>
      <c r="R46" s="11" t="s">
        <v>93</v>
      </c>
      <c r="S46" s="9">
        <v>29.1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</row>
    <row r="47" spans="1:113" ht="16" x14ac:dyDescent="0.2">
      <c r="A47" s="20" t="s">
        <v>149</v>
      </c>
      <c r="B47" s="9">
        <v>0</v>
      </c>
      <c r="C47" s="21" t="s">
        <v>147</v>
      </c>
      <c r="D47" s="9">
        <v>1</v>
      </c>
      <c r="E47" s="8">
        <v>10.505882352941176</v>
      </c>
      <c r="F47" s="8">
        <v>1.319526627218935</v>
      </c>
      <c r="G47" s="8">
        <v>45.853260869565219</v>
      </c>
      <c r="H47" s="8">
        <v>56.359143222506397</v>
      </c>
      <c r="I47" s="8">
        <v>3.6548223350253806</v>
      </c>
      <c r="J47" s="8"/>
      <c r="K47" s="8">
        <v>7.1895424836601302E-2</v>
      </c>
      <c r="L47" s="8">
        <v>1.2916666666666667</v>
      </c>
      <c r="M47" s="8"/>
      <c r="N47" s="12">
        <v>161.28021978021977</v>
      </c>
      <c r="O47" s="13">
        <v>0</v>
      </c>
      <c r="P47" s="9">
        <v>48</v>
      </c>
      <c r="Q47" s="9">
        <v>0</v>
      </c>
      <c r="R47" s="9" t="s">
        <v>93</v>
      </c>
      <c r="S47" s="9">
        <v>34.700000000000003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</row>
    <row r="48" spans="1:113" ht="16" x14ac:dyDescent="0.2">
      <c r="A48" s="20" t="s">
        <v>158</v>
      </c>
      <c r="B48" s="9">
        <v>0</v>
      </c>
      <c r="C48" s="21" t="s">
        <v>147</v>
      </c>
      <c r="D48" s="9">
        <v>1</v>
      </c>
      <c r="E48" s="8">
        <v>16.779635294117647</v>
      </c>
      <c r="F48" s="8">
        <v>1.1035976331360948</v>
      </c>
      <c r="G48" s="8"/>
      <c r="H48" s="8"/>
      <c r="I48" s="8">
        <v>3.3125837563451772</v>
      </c>
      <c r="J48" s="8">
        <v>0.84390506329113912</v>
      </c>
      <c r="K48" s="8">
        <v>7.3385620915032673E-2</v>
      </c>
      <c r="L48" s="8">
        <v>2.4759345238095238</v>
      </c>
      <c r="M48" s="8">
        <v>4.826102941176471E-2</v>
      </c>
      <c r="N48" s="24"/>
      <c r="O48" s="13">
        <v>0</v>
      </c>
      <c r="P48" s="11">
        <v>59.222450376454482</v>
      </c>
      <c r="Q48" s="9">
        <v>1</v>
      </c>
      <c r="R48" s="11" t="s">
        <v>93</v>
      </c>
      <c r="S48" s="9">
        <v>20.6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</row>
    <row r="49" spans="1:113" ht="16" x14ac:dyDescent="0.2">
      <c r="A49" s="20" t="s">
        <v>152</v>
      </c>
      <c r="B49" s="9">
        <v>0</v>
      </c>
      <c r="C49" s="21" t="s">
        <v>147</v>
      </c>
      <c r="D49" s="9">
        <v>1</v>
      </c>
      <c r="E49" s="8">
        <v>15.195705882352941</v>
      </c>
      <c r="F49" s="8">
        <v>1.0016272189349114</v>
      </c>
      <c r="G49" s="8">
        <v>47.945652173913047</v>
      </c>
      <c r="H49" s="8">
        <v>63.141358056265986</v>
      </c>
      <c r="I49" s="8">
        <v>3.8509238578680201</v>
      </c>
      <c r="J49" s="8">
        <v>0.67962658227848105</v>
      </c>
      <c r="K49" s="8">
        <v>0.10989542483660131</v>
      </c>
      <c r="L49" s="8">
        <v>1.8873690476190474</v>
      </c>
      <c r="M49" s="8">
        <v>5.2308823529411762E-2</v>
      </c>
      <c r="N49" s="12">
        <v>197.60439560439559</v>
      </c>
      <c r="O49" s="13">
        <v>0</v>
      </c>
      <c r="P49" s="11">
        <v>40.298425735797402</v>
      </c>
      <c r="Q49" s="9">
        <v>0</v>
      </c>
      <c r="R49" s="11" t="s">
        <v>93</v>
      </c>
      <c r="S49" s="9">
        <v>24.4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</row>
    <row r="50" spans="1:113" ht="16" x14ac:dyDescent="0.2">
      <c r="A50" s="20" t="s">
        <v>153</v>
      </c>
      <c r="B50" s="9">
        <v>0</v>
      </c>
      <c r="C50" s="21" t="s">
        <v>147</v>
      </c>
      <c r="D50" s="9">
        <v>1</v>
      </c>
      <c r="E50" s="8">
        <v>14.303882352941176</v>
      </c>
      <c r="F50" s="8">
        <v>1.1115621301775149</v>
      </c>
      <c r="G50" s="8">
        <v>56.869565217391305</v>
      </c>
      <c r="H50" s="8">
        <v>71.173447570332485</v>
      </c>
      <c r="I50" s="8">
        <v>3.4543756345177661</v>
      </c>
      <c r="J50" s="8">
        <v>0.42601898734177218</v>
      </c>
      <c r="K50" s="8">
        <v>0.26143790849673204</v>
      </c>
      <c r="L50" s="8">
        <v>4.1785714285714288</v>
      </c>
      <c r="M50" s="8">
        <v>6.9999999999999993E-2</v>
      </c>
      <c r="N50" s="12">
        <v>243.21978021978023</v>
      </c>
      <c r="O50" s="13">
        <v>0</v>
      </c>
      <c r="P50" s="11">
        <v>44.689938398357292</v>
      </c>
      <c r="Q50" s="9">
        <v>1</v>
      </c>
      <c r="R50" s="11" t="s">
        <v>132</v>
      </c>
      <c r="S50" s="9">
        <v>29.6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</row>
    <row r="51" spans="1:113" ht="16" x14ac:dyDescent="0.2">
      <c r="A51" s="20" t="s">
        <v>148</v>
      </c>
      <c r="B51" s="9">
        <v>0</v>
      </c>
      <c r="C51" s="21" t="s">
        <v>147</v>
      </c>
      <c r="D51" s="9">
        <v>1</v>
      </c>
      <c r="E51" s="8">
        <v>9.1588235294117641</v>
      </c>
      <c r="F51" s="8">
        <v>0.65680473372781067</v>
      </c>
      <c r="G51" s="8">
        <v>47.255434782608695</v>
      </c>
      <c r="H51" s="8">
        <v>56.414258312020458</v>
      </c>
      <c r="I51" s="8">
        <v>3.5583756345177666</v>
      </c>
      <c r="J51" s="8">
        <v>1.141379746835443</v>
      </c>
      <c r="K51" s="8">
        <v>0.6143790849673203</v>
      </c>
      <c r="L51" s="8">
        <v>1.7321428571428572</v>
      </c>
      <c r="M51" s="8">
        <v>5.3503676470588235E-2</v>
      </c>
      <c r="N51" s="12">
        <v>241.58791208791209</v>
      </c>
      <c r="O51" s="13">
        <v>0</v>
      </c>
      <c r="P51" s="11">
        <v>70.149212867898697</v>
      </c>
      <c r="Q51" s="9">
        <v>0</v>
      </c>
      <c r="R51" s="11" t="s">
        <v>93</v>
      </c>
      <c r="S51" s="9">
        <v>24.7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</row>
    <row r="52" spans="1:113" ht="16" x14ac:dyDescent="0.2">
      <c r="A52" s="25" t="s">
        <v>146</v>
      </c>
      <c r="B52" s="9">
        <v>0</v>
      </c>
      <c r="C52" s="21" t="s">
        <v>147</v>
      </c>
      <c r="D52" s="9">
        <v>1</v>
      </c>
      <c r="E52" s="8">
        <v>7.2531058823529415</v>
      </c>
      <c r="F52" s="8">
        <v>0.39780473372781067</v>
      </c>
      <c r="G52" s="8">
        <v>44.321576086956519</v>
      </c>
      <c r="H52" s="8">
        <v>51.574681969309459</v>
      </c>
      <c r="I52" s="8">
        <v>2.9091827411167515</v>
      </c>
      <c r="J52" s="8">
        <v>5.8823529411764705E-2</v>
      </c>
      <c r="K52" s="8">
        <v>0.82738095238095233</v>
      </c>
      <c r="L52" s="8"/>
      <c r="M52" s="8"/>
      <c r="N52" s="5">
        <v>100.22206593406594</v>
      </c>
      <c r="O52" s="13">
        <v>0</v>
      </c>
      <c r="P52" s="11">
        <v>50.770704996577685</v>
      </c>
      <c r="Q52" s="26">
        <v>0</v>
      </c>
      <c r="R52" s="11" t="s">
        <v>93</v>
      </c>
      <c r="S52" s="9">
        <v>27.4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</row>
    <row r="53" spans="1:113" ht="16" x14ac:dyDescent="0.2">
      <c r="A53" s="20" t="s">
        <v>159</v>
      </c>
      <c r="B53" s="9">
        <v>0</v>
      </c>
      <c r="C53" s="11" t="s">
        <v>160</v>
      </c>
      <c r="D53" s="9">
        <v>1</v>
      </c>
      <c r="E53" s="8">
        <v>12.576470588235294</v>
      </c>
      <c r="F53" s="8">
        <v>0.86982248520710059</v>
      </c>
      <c r="G53" s="8">
        <v>48.734918478260873</v>
      </c>
      <c r="H53" s="8">
        <v>61.311389066496197</v>
      </c>
      <c r="I53" s="8">
        <v>3.2994923857868019</v>
      </c>
      <c r="J53" s="8">
        <v>0.87658227848101267</v>
      </c>
      <c r="K53" s="8">
        <v>6.5359477124183009E-3</v>
      </c>
      <c r="L53" s="8">
        <v>1.4583333333333333</v>
      </c>
      <c r="M53" s="8">
        <v>4.0441176470588237E-2</v>
      </c>
      <c r="N53" s="24">
        <v>131.79813186813186</v>
      </c>
      <c r="O53" s="13">
        <v>0</v>
      </c>
      <c r="P53" s="11">
        <v>64.845995893223815</v>
      </c>
      <c r="Q53" s="9">
        <v>0</v>
      </c>
      <c r="R53" s="11" t="s">
        <v>93</v>
      </c>
      <c r="S53" s="9">
        <v>34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</row>
    <row r="54" spans="1:113" ht="16" x14ac:dyDescent="0.2">
      <c r="A54" s="20" t="s">
        <v>155</v>
      </c>
      <c r="B54" s="9">
        <v>0</v>
      </c>
      <c r="C54" s="11" t="s">
        <v>156</v>
      </c>
      <c r="D54" s="9">
        <v>1</v>
      </c>
      <c r="E54" s="8">
        <v>13.523529411764706</v>
      </c>
      <c r="F54" s="8">
        <v>0.79289940828402372</v>
      </c>
      <c r="G54" s="8">
        <v>64.059782608695656</v>
      </c>
      <c r="H54" s="8">
        <v>77.583312020460369</v>
      </c>
      <c r="I54" s="8">
        <v>3.015228426395939</v>
      </c>
      <c r="J54" s="8"/>
      <c r="K54" s="8">
        <v>4.5751633986928102E-2</v>
      </c>
      <c r="L54" s="8">
        <v>1.3035714285714286</v>
      </c>
      <c r="M54" s="8"/>
      <c r="N54" s="12">
        <v>223.92307692307693</v>
      </c>
      <c r="O54" s="13">
        <v>0</v>
      </c>
      <c r="P54" s="11">
        <v>55.843942505133469</v>
      </c>
      <c r="Q54" s="9">
        <v>1</v>
      </c>
      <c r="R54" s="11" t="s">
        <v>93</v>
      </c>
      <c r="S54" s="9">
        <v>27.3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</row>
    <row r="55" spans="1:113" ht="16" x14ac:dyDescent="0.2">
      <c r="A55" s="20" t="s">
        <v>161</v>
      </c>
      <c r="B55" s="9">
        <v>0</v>
      </c>
      <c r="C55" s="11" t="s">
        <v>162</v>
      </c>
      <c r="D55" s="9">
        <v>1</v>
      </c>
      <c r="E55" s="8">
        <v>5.6941176470588237</v>
      </c>
      <c r="F55" s="8">
        <v>0.83431952662721898</v>
      </c>
      <c r="G55" s="8"/>
      <c r="H55" s="8"/>
      <c r="I55" s="8">
        <v>2.7715736040609138</v>
      </c>
      <c r="J55" s="8"/>
      <c r="K55" s="8">
        <v>7.8431372549019607E-2</v>
      </c>
      <c r="L55" s="8">
        <v>1.2083333333333333</v>
      </c>
      <c r="M55" s="8"/>
      <c r="N55" s="12"/>
      <c r="O55" s="13">
        <v>0</v>
      </c>
      <c r="P55" s="11">
        <v>25.921971252566735</v>
      </c>
      <c r="Q55" s="9">
        <v>0</v>
      </c>
      <c r="R55" s="11" t="s">
        <v>132</v>
      </c>
      <c r="S55" s="9">
        <v>35.200000000000003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</row>
    <row r="56" spans="1:113" ht="16" x14ac:dyDescent="0.2">
      <c r="A56" s="20" t="s">
        <v>163</v>
      </c>
      <c r="B56" s="9">
        <v>0</v>
      </c>
      <c r="C56" s="11" t="s">
        <v>160</v>
      </c>
      <c r="D56" s="9">
        <v>1</v>
      </c>
      <c r="E56" s="8">
        <v>12.619141176470588</v>
      </c>
      <c r="F56" s="8">
        <v>1.1076568047337279</v>
      </c>
      <c r="G56" s="23">
        <v>62.418956521739126</v>
      </c>
      <c r="H56" s="23">
        <v>75.038097698209711</v>
      </c>
      <c r="I56" s="8">
        <v>6.1074873096446698</v>
      </c>
      <c r="J56" s="8"/>
      <c r="K56" s="8">
        <v>0.36791503267973852</v>
      </c>
      <c r="L56" s="8">
        <v>1.8679107142857145</v>
      </c>
      <c r="M56" s="8"/>
      <c r="N56" s="27">
        <v>195.12259340659341</v>
      </c>
      <c r="O56" s="13">
        <v>0</v>
      </c>
      <c r="P56" s="11">
        <v>60.761122518822724</v>
      </c>
      <c r="Q56" s="9">
        <v>0</v>
      </c>
      <c r="R56" s="11" t="s">
        <v>132</v>
      </c>
      <c r="S56" s="9">
        <v>32.299999999999997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</row>
    <row r="57" spans="1:113" ht="16" x14ac:dyDescent="0.2">
      <c r="A57" s="9" t="s">
        <v>98</v>
      </c>
      <c r="B57" s="9">
        <v>0</v>
      </c>
      <c r="C57" s="9" t="s">
        <v>92</v>
      </c>
      <c r="D57" s="9">
        <v>1</v>
      </c>
      <c r="E57" s="9">
        <v>13.29035294</v>
      </c>
      <c r="F57" s="9">
        <v>0.60381656800000005</v>
      </c>
      <c r="G57" s="9">
        <v>45.61976087</v>
      </c>
      <c r="H57" s="9">
        <v>58.910113809999999</v>
      </c>
      <c r="I57" s="9">
        <v>3.8902131980000001</v>
      </c>
      <c r="J57" s="9">
        <v>1.264088608</v>
      </c>
      <c r="K57" s="9">
        <v>1.1335293999999999E-2</v>
      </c>
      <c r="L57" s="9">
        <v>1.465105882</v>
      </c>
      <c r="M57" s="9">
        <v>5.4945055E-2</v>
      </c>
      <c r="N57" s="9">
        <v>157.3665714</v>
      </c>
      <c r="O57" s="9">
        <v>0</v>
      </c>
      <c r="P57" s="9">
        <v>24</v>
      </c>
      <c r="Q57" s="9">
        <v>0</v>
      </c>
      <c r="R57" s="9" t="s">
        <v>93</v>
      </c>
      <c r="S57" s="9">
        <v>22.3</v>
      </c>
      <c r="T57" s="9"/>
      <c r="U57" s="9">
        <v>0</v>
      </c>
      <c r="V57" s="9">
        <v>0</v>
      </c>
      <c r="W57" s="9">
        <v>0</v>
      </c>
      <c r="X57" s="9">
        <v>9</v>
      </c>
      <c r="Y57" s="9">
        <v>11</v>
      </c>
      <c r="Z57" s="9">
        <v>15</v>
      </c>
      <c r="AA57" s="9">
        <v>10</v>
      </c>
      <c r="AB57" s="9">
        <v>13</v>
      </c>
      <c r="AC57" s="9">
        <v>58</v>
      </c>
      <c r="AD57" s="9">
        <v>7</v>
      </c>
      <c r="AE57" s="9">
        <v>4</v>
      </c>
      <c r="AF57" s="9">
        <v>5</v>
      </c>
      <c r="AG57" s="9">
        <v>5</v>
      </c>
      <c r="AH57" s="9">
        <v>4</v>
      </c>
      <c r="AI57" s="9">
        <f t="shared" ref="AI57:AI91" si="0">SUM(AD57:AH57)</f>
        <v>25</v>
      </c>
      <c r="AJ57" s="9">
        <v>0</v>
      </c>
      <c r="AK57" s="9">
        <v>0</v>
      </c>
      <c r="AL57" s="9">
        <v>36.299999999999997</v>
      </c>
      <c r="AM57" s="9">
        <v>40.700000000000003</v>
      </c>
      <c r="AN57" s="9">
        <v>33.1</v>
      </c>
      <c r="AO57" s="9">
        <v>34.1</v>
      </c>
      <c r="AP57" s="9">
        <v>41.4</v>
      </c>
      <c r="AQ57" s="9">
        <v>35.299999999999997</v>
      </c>
      <c r="AR57" s="9">
        <v>31.6</v>
      </c>
      <c r="AS57" s="9">
        <v>33.5</v>
      </c>
      <c r="AT57" s="9">
        <v>61.9</v>
      </c>
      <c r="AU57" s="9">
        <v>67.599999999999994</v>
      </c>
      <c r="AV57" s="9">
        <v>0</v>
      </c>
      <c r="AW57" s="9">
        <v>0</v>
      </c>
      <c r="AX57" s="9">
        <v>0</v>
      </c>
      <c r="AY57" s="9">
        <v>0</v>
      </c>
      <c r="AZ57" s="9">
        <v>100</v>
      </c>
      <c r="BA57" s="9">
        <v>100</v>
      </c>
      <c r="BB57" s="9">
        <v>100</v>
      </c>
      <c r="BC57" s="9">
        <v>90</v>
      </c>
      <c r="BD57" s="9">
        <v>81.25</v>
      </c>
      <c r="BE57" s="9">
        <v>100</v>
      </c>
      <c r="BF57" s="9">
        <v>100</v>
      </c>
      <c r="BG57" s="9">
        <v>95</v>
      </c>
      <c r="BH57" s="9">
        <v>58.285200000000003</v>
      </c>
      <c r="BI57" s="9">
        <v>57.873100000000001</v>
      </c>
      <c r="BJ57" s="9">
        <v>1.4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1</v>
      </c>
      <c r="CB57" s="9">
        <v>50</v>
      </c>
      <c r="CC57" s="9">
        <v>51</v>
      </c>
      <c r="CD57" s="9">
        <v>58</v>
      </c>
      <c r="CE57" s="9">
        <v>57</v>
      </c>
      <c r="CF57" s="9">
        <v>64</v>
      </c>
      <c r="CG57" s="9">
        <v>64</v>
      </c>
      <c r="CH57" s="9">
        <v>0.29166666699999999</v>
      </c>
      <c r="CI57" s="9">
        <v>47</v>
      </c>
      <c r="CJ57" s="9">
        <v>52</v>
      </c>
      <c r="CK57" s="9">
        <v>50</v>
      </c>
      <c r="CL57" s="9">
        <v>49</v>
      </c>
      <c r="CM57" s="9">
        <v>41.41</v>
      </c>
      <c r="CN57" s="9">
        <v>39.53</v>
      </c>
      <c r="CO57" s="9"/>
      <c r="CP57" s="9">
        <v>0</v>
      </c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</row>
    <row r="58" spans="1:113" ht="17.5" customHeight="1" x14ac:dyDescent="0.2">
      <c r="A58" s="9" t="s">
        <v>111</v>
      </c>
      <c r="B58" s="9">
        <v>0</v>
      </c>
      <c r="C58" s="9" t="s">
        <v>92</v>
      </c>
      <c r="D58" s="9">
        <v>1</v>
      </c>
      <c r="E58" s="9">
        <v>7.1386823530000001</v>
      </c>
      <c r="F58" s="9">
        <v>0.32233136099999998</v>
      </c>
      <c r="G58" s="9">
        <v>39.429347829999998</v>
      </c>
      <c r="H58" s="9">
        <v>46.568030180000001</v>
      </c>
      <c r="I58" s="9">
        <v>3.4863197970000002</v>
      </c>
      <c r="J58" s="9">
        <v>1.219240506</v>
      </c>
      <c r="K58" s="9">
        <v>1.9682353E-2</v>
      </c>
      <c r="L58" s="9">
        <v>0.80910714299999997</v>
      </c>
      <c r="M58" s="9">
        <v>0.20527941199999999</v>
      </c>
      <c r="N58" s="9">
        <v>69.807692309999993</v>
      </c>
      <c r="O58" s="9">
        <v>0</v>
      </c>
      <c r="P58" s="9">
        <v>36</v>
      </c>
      <c r="Q58" s="9">
        <v>0</v>
      </c>
      <c r="R58" s="9" t="s">
        <v>93</v>
      </c>
      <c r="S58" s="9">
        <v>24.1</v>
      </c>
      <c r="T58" s="9"/>
      <c r="U58" s="9">
        <v>0</v>
      </c>
      <c r="V58" s="9">
        <v>0</v>
      </c>
      <c r="W58" s="9">
        <v>0</v>
      </c>
      <c r="X58" s="9">
        <v>11</v>
      </c>
      <c r="Y58" s="9">
        <v>7</v>
      </c>
      <c r="Z58" s="9">
        <v>12</v>
      </c>
      <c r="AA58" s="9">
        <v>13</v>
      </c>
      <c r="AB58" s="9">
        <v>8</v>
      </c>
      <c r="AC58" s="9">
        <v>51</v>
      </c>
      <c r="AD58" s="9">
        <v>8</v>
      </c>
      <c r="AE58" s="9">
        <v>5</v>
      </c>
      <c r="AF58" s="9">
        <v>5</v>
      </c>
      <c r="AG58" s="9">
        <v>6</v>
      </c>
      <c r="AH58" s="9">
        <v>4</v>
      </c>
      <c r="AI58" s="9">
        <f t="shared" si="0"/>
        <v>28</v>
      </c>
      <c r="AJ58" s="9">
        <v>0</v>
      </c>
      <c r="AK58" s="9">
        <v>0</v>
      </c>
      <c r="AL58" s="9">
        <v>36.299999999999997</v>
      </c>
      <c r="AM58" s="9">
        <v>40.700000000000003</v>
      </c>
      <c r="AN58" s="9">
        <v>33.1</v>
      </c>
      <c r="AO58" s="9">
        <v>34.1</v>
      </c>
      <c r="AP58" s="9">
        <v>35.200000000000003</v>
      </c>
      <c r="AQ58" s="9">
        <v>43.9</v>
      </c>
      <c r="AR58" s="9">
        <v>43</v>
      </c>
      <c r="AS58" s="9">
        <v>38.700000000000003</v>
      </c>
      <c r="AT58" s="9">
        <v>61.9</v>
      </c>
      <c r="AU58" s="9">
        <v>56</v>
      </c>
      <c r="AV58" s="9">
        <v>0</v>
      </c>
      <c r="AW58" s="9">
        <v>0</v>
      </c>
      <c r="AX58" s="9">
        <v>1</v>
      </c>
      <c r="AY58" s="9">
        <v>1</v>
      </c>
      <c r="AZ58" s="9">
        <v>95</v>
      </c>
      <c r="BA58" s="9">
        <v>100</v>
      </c>
      <c r="BB58" s="9">
        <v>84</v>
      </c>
      <c r="BC58" s="9">
        <v>72</v>
      </c>
      <c r="BD58" s="9">
        <v>62.5</v>
      </c>
      <c r="BE58" s="9">
        <v>100</v>
      </c>
      <c r="BF58" s="9">
        <v>100</v>
      </c>
      <c r="BG58" s="9">
        <v>85</v>
      </c>
      <c r="BH58" s="9">
        <v>54.731900000000003</v>
      </c>
      <c r="BI58" s="9">
        <v>53.7438</v>
      </c>
      <c r="BJ58" s="9">
        <v>1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4</v>
      </c>
      <c r="CB58" s="9">
        <v>50</v>
      </c>
      <c r="CC58" s="9">
        <v>48</v>
      </c>
      <c r="CD58" s="9">
        <v>51</v>
      </c>
      <c r="CE58" s="9">
        <v>49</v>
      </c>
      <c r="CF58" s="9">
        <v>47</v>
      </c>
      <c r="CG58" s="9">
        <v>34</v>
      </c>
      <c r="CH58" s="9">
        <v>0.71052631600000005</v>
      </c>
      <c r="CI58" s="9">
        <v>48</v>
      </c>
      <c r="CJ58" s="9">
        <v>48</v>
      </c>
      <c r="CK58" s="9">
        <v>44</v>
      </c>
      <c r="CL58" s="9">
        <v>47</v>
      </c>
      <c r="CM58" s="9">
        <v>25.45</v>
      </c>
      <c r="CN58" s="9">
        <v>27.5</v>
      </c>
      <c r="CO58" s="9"/>
      <c r="CP58" s="9">
        <v>0</v>
      </c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</row>
    <row r="59" spans="1:113" ht="16" x14ac:dyDescent="0.2">
      <c r="A59" s="9" t="s">
        <v>112</v>
      </c>
      <c r="B59" s="9">
        <v>0</v>
      </c>
      <c r="C59" s="9" t="s">
        <v>92</v>
      </c>
      <c r="D59" s="9">
        <v>1</v>
      </c>
      <c r="E59" s="9">
        <v>8.2491647060000002</v>
      </c>
      <c r="F59" s="9">
        <v>0.46717159800000002</v>
      </c>
      <c r="G59" s="9">
        <v>41.201086959999998</v>
      </c>
      <c r="H59" s="9">
        <v>49.450251659999999</v>
      </c>
      <c r="I59" s="9">
        <v>2.6058375630000001</v>
      </c>
      <c r="J59" s="9">
        <v>1.3167531649999999</v>
      </c>
      <c r="K59" s="9">
        <v>2.3323528999999999E-2</v>
      </c>
      <c r="L59" s="9">
        <v>0.80405357099999997</v>
      </c>
      <c r="M59" s="9">
        <v>0.15409558800000001</v>
      </c>
      <c r="N59" s="9">
        <v>94.434065930000003</v>
      </c>
      <c r="O59" s="9">
        <v>0</v>
      </c>
      <c r="P59" s="9">
        <v>26</v>
      </c>
      <c r="Q59" s="9">
        <v>0</v>
      </c>
      <c r="R59" s="9" t="s">
        <v>93</v>
      </c>
      <c r="S59" s="9">
        <v>25</v>
      </c>
      <c r="T59" s="9"/>
      <c r="U59" s="9">
        <v>0</v>
      </c>
      <c r="V59" s="9">
        <v>0</v>
      </c>
      <c r="W59" s="9">
        <v>0</v>
      </c>
      <c r="X59" s="9">
        <v>11</v>
      </c>
      <c r="Y59" s="9">
        <v>9</v>
      </c>
      <c r="Z59" s="9">
        <v>16</v>
      </c>
      <c r="AA59" s="9">
        <v>15</v>
      </c>
      <c r="AB59" s="9">
        <v>15</v>
      </c>
      <c r="AC59" s="9">
        <v>66</v>
      </c>
      <c r="AD59" s="9">
        <v>4</v>
      </c>
      <c r="AE59" s="9">
        <v>4</v>
      </c>
      <c r="AF59" s="9">
        <v>8</v>
      </c>
      <c r="AG59" s="9">
        <v>6</v>
      </c>
      <c r="AH59" s="9">
        <v>8</v>
      </c>
      <c r="AI59" s="9">
        <f t="shared" si="0"/>
        <v>30</v>
      </c>
      <c r="AJ59" s="9">
        <v>0</v>
      </c>
      <c r="AK59" s="9">
        <v>0</v>
      </c>
      <c r="AL59" s="9">
        <v>36.299999999999997</v>
      </c>
      <c r="AM59" s="9">
        <v>40.700000000000003</v>
      </c>
      <c r="AN59" s="9">
        <v>38.5</v>
      </c>
      <c r="AO59" s="9">
        <v>34.1</v>
      </c>
      <c r="AP59" s="9">
        <v>35.200000000000003</v>
      </c>
      <c r="AQ59" s="9">
        <v>35.299999999999997</v>
      </c>
      <c r="AR59" s="9">
        <v>37.6</v>
      </c>
      <c r="AS59" s="9">
        <v>38.5</v>
      </c>
      <c r="AT59" s="9">
        <v>67.7</v>
      </c>
      <c r="AU59" s="9">
        <v>59</v>
      </c>
      <c r="AV59" s="9">
        <v>0</v>
      </c>
      <c r="AW59" s="9">
        <v>1</v>
      </c>
      <c r="AX59" s="9">
        <v>0</v>
      </c>
      <c r="AY59" s="9">
        <v>1</v>
      </c>
      <c r="AZ59" s="9">
        <v>100</v>
      </c>
      <c r="BA59" s="9">
        <v>100</v>
      </c>
      <c r="BB59" s="9">
        <v>100</v>
      </c>
      <c r="BC59" s="9">
        <v>95</v>
      </c>
      <c r="BD59" s="9">
        <v>75</v>
      </c>
      <c r="BE59" s="9">
        <v>100</v>
      </c>
      <c r="BF59" s="9">
        <v>100</v>
      </c>
      <c r="BG59" s="9">
        <v>90</v>
      </c>
      <c r="BH59" s="9">
        <v>56.197899999999997</v>
      </c>
      <c r="BI59" s="9">
        <v>58.984499999999997</v>
      </c>
      <c r="BJ59" s="9">
        <v>1</v>
      </c>
      <c r="BK59" s="9">
        <v>0</v>
      </c>
      <c r="BL59" s="9">
        <v>1</v>
      </c>
      <c r="BM59" s="9">
        <v>1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2</v>
      </c>
      <c r="CA59" s="9">
        <v>1</v>
      </c>
      <c r="CB59" s="9">
        <v>46</v>
      </c>
      <c r="CC59" s="9">
        <v>68</v>
      </c>
      <c r="CD59" s="9">
        <v>44</v>
      </c>
      <c r="CE59" s="9">
        <v>56</v>
      </c>
      <c r="CF59" s="9">
        <v>47</v>
      </c>
      <c r="CG59" s="9">
        <v>51</v>
      </c>
      <c r="CH59" s="9">
        <v>0.38775510200000002</v>
      </c>
      <c r="CI59" s="9">
        <v>50</v>
      </c>
      <c r="CJ59" s="9">
        <v>49</v>
      </c>
      <c r="CK59" s="9">
        <v>49</v>
      </c>
      <c r="CL59" s="9">
        <v>42</v>
      </c>
      <c r="CM59" s="9">
        <v>36.28</v>
      </c>
      <c r="CN59" s="9">
        <v>15.55</v>
      </c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</row>
    <row r="60" spans="1:113" ht="16" x14ac:dyDescent="0.2">
      <c r="A60" s="9" t="s">
        <v>101</v>
      </c>
      <c r="B60" s="9">
        <v>0</v>
      </c>
      <c r="C60" s="9" t="s">
        <v>92</v>
      </c>
      <c r="D60" s="9">
        <v>1</v>
      </c>
      <c r="E60" s="9">
        <v>13.560623530000001</v>
      </c>
      <c r="F60" s="9">
        <v>0.91637869800000005</v>
      </c>
      <c r="G60" s="9">
        <v>56.505434780000002</v>
      </c>
      <c r="H60" s="9">
        <v>70.066058310000003</v>
      </c>
      <c r="I60" s="9">
        <v>3.1252233500000002</v>
      </c>
      <c r="J60" s="9">
        <v>0.63893038000000002</v>
      </c>
      <c r="K60" s="9">
        <v>2.4658823999999999E-2</v>
      </c>
      <c r="L60" s="9">
        <v>2.8670823529999998</v>
      </c>
      <c r="M60" s="9">
        <v>5.6527473000000002E-2</v>
      </c>
      <c r="N60" s="9">
        <v>248.63736259999999</v>
      </c>
      <c r="O60" s="9">
        <v>0</v>
      </c>
      <c r="P60" s="9">
        <v>54</v>
      </c>
      <c r="Q60" s="9">
        <v>1</v>
      </c>
      <c r="R60" s="9" t="s">
        <v>93</v>
      </c>
      <c r="S60" s="9">
        <v>22.4</v>
      </c>
      <c r="T60" s="9"/>
      <c r="U60" s="9">
        <v>0</v>
      </c>
      <c r="V60" s="9">
        <v>0</v>
      </c>
      <c r="W60" s="9">
        <v>0</v>
      </c>
      <c r="X60" s="9">
        <v>16</v>
      </c>
      <c r="Y60" s="9">
        <v>10</v>
      </c>
      <c r="Z60" s="9">
        <v>20</v>
      </c>
      <c r="AA60" s="9">
        <v>16</v>
      </c>
      <c r="AB60" s="9">
        <v>23</v>
      </c>
      <c r="AC60" s="9">
        <v>85</v>
      </c>
      <c r="AD60" s="9">
        <v>7</v>
      </c>
      <c r="AE60" s="9">
        <v>5</v>
      </c>
      <c r="AF60" s="9">
        <v>9</v>
      </c>
      <c r="AG60" s="9">
        <v>4</v>
      </c>
      <c r="AH60" s="9">
        <v>9</v>
      </c>
      <c r="AI60" s="9">
        <f t="shared" si="0"/>
        <v>34</v>
      </c>
      <c r="AJ60" s="9">
        <v>15</v>
      </c>
      <c r="AK60" s="9">
        <v>3</v>
      </c>
      <c r="AL60" s="9">
        <v>47.5</v>
      </c>
      <c r="AM60" s="9">
        <v>51.2</v>
      </c>
      <c r="AN60" s="9">
        <v>45.6</v>
      </c>
      <c r="AO60" s="9">
        <v>48.6</v>
      </c>
      <c r="AP60" s="9">
        <v>45.5</v>
      </c>
      <c r="AQ60" s="9">
        <v>47.9</v>
      </c>
      <c r="AR60" s="9">
        <v>43.5</v>
      </c>
      <c r="AS60" s="9">
        <v>38</v>
      </c>
      <c r="AT60" s="9">
        <v>61.9</v>
      </c>
      <c r="AU60" s="9">
        <v>53.3</v>
      </c>
      <c r="AV60" s="9">
        <v>16</v>
      </c>
      <c r="AW60" s="9">
        <v>0</v>
      </c>
      <c r="AX60" s="9">
        <v>3</v>
      </c>
      <c r="AY60" s="9">
        <v>3</v>
      </c>
      <c r="AZ60" s="9">
        <v>85</v>
      </c>
      <c r="BA60" s="9">
        <v>81.25</v>
      </c>
      <c r="BB60" s="9">
        <v>51</v>
      </c>
      <c r="BC60" s="9">
        <v>95</v>
      </c>
      <c r="BD60" s="9">
        <v>62.5</v>
      </c>
      <c r="BE60" s="9">
        <v>87.5</v>
      </c>
      <c r="BF60" s="9">
        <v>91.67</v>
      </c>
      <c r="BG60" s="9">
        <v>85</v>
      </c>
      <c r="BH60" s="9">
        <v>54.6357</v>
      </c>
      <c r="BI60" s="9">
        <v>48.593000000000004</v>
      </c>
      <c r="BJ60" s="9">
        <v>1.3</v>
      </c>
      <c r="BK60" s="9">
        <v>1</v>
      </c>
      <c r="BL60" s="9">
        <v>0</v>
      </c>
      <c r="BM60" s="9">
        <v>1</v>
      </c>
      <c r="BN60" s="9">
        <v>0</v>
      </c>
      <c r="BO60" s="9">
        <v>0</v>
      </c>
      <c r="BP60" s="9">
        <v>0</v>
      </c>
      <c r="BQ60" s="9">
        <v>1</v>
      </c>
      <c r="BR60" s="9">
        <v>0</v>
      </c>
      <c r="BS60" s="9">
        <v>0</v>
      </c>
      <c r="BT60" s="9">
        <v>1</v>
      </c>
      <c r="BU60" s="9">
        <v>0</v>
      </c>
      <c r="BV60" s="9">
        <v>1</v>
      </c>
      <c r="BW60" s="9">
        <v>1</v>
      </c>
      <c r="BX60" s="9">
        <v>1</v>
      </c>
      <c r="BY60" s="9">
        <v>1</v>
      </c>
      <c r="BZ60" s="9">
        <v>8</v>
      </c>
      <c r="CA60" s="9">
        <v>3</v>
      </c>
      <c r="CB60" s="9">
        <v>72</v>
      </c>
      <c r="CC60" s="9">
        <v>65</v>
      </c>
      <c r="CD60" s="9">
        <v>52</v>
      </c>
      <c r="CE60" s="9">
        <v>66</v>
      </c>
      <c r="CF60" s="9">
        <v>50</v>
      </c>
      <c r="CG60" s="9">
        <v>50</v>
      </c>
      <c r="CH60" s="9">
        <v>0.36170212800000001</v>
      </c>
      <c r="CI60" s="9"/>
      <c r="CJ60" s="9"/>
      <c r="CK60" s="9"/>
      <c r="CL60" s="9"/>
      <c r="CM60" s="9"/>
      <c r="CN60" s="9"/>
      <c r="CO60" s="9">
        <v>0</v>
      </c>
      <c r="CP60" s="9">
        <v>0</v>
      </c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</row>
    <row r="61" spans="1:113" ht="16" x14ac:dyDescent="0.2">
      <c r="A61" s="9" t="s">
        <v>113</v>
      </c>
      <c r="B61" s="9">
        <v>0</v>
      </c>
      <c r="C61" s="9" t="s">
        <v>92</v>
      </c>
      <c r="D61" s="9">
        <v>1</v>
      </c>
      <c r="E61" s="9">
        <v>8.4919764709999992</v>
      </c>
      <c r="F61" s="9">
        <v>0.60303550299999997</v>
      </c>
      <c r="G61" s="9">
        <v>39.994565217391305</v>
      </c>
      <c r="H61" s="9">
        <v>48.486541688391306</v>
      </c>
      <c r="I61" s="9">
        <v>3.1078172589999999</v>
      </c>
      <c r="J61" s="9">
        <v>0.77450632900000005</v>
      </c>
      <c r="K61" s="9">
        <v>2.6888235E-2</v>
      </c>
      <c r="L61" s="9">
        <v>1.7456941180000001</v>
      </c>
      <c r="M61" s="15">
        <v>1.4245000000000001E-2</v>
      </c>
      <c r="N61" s="9">
        <v>175.41758241758242</v>
      </c>
      <c r="O61" s="9">
        <v>0</v>
      </c>
      <c r="P61" s="9">
        <v>59</v>
      </c>
      <c r="Q61" s="9">
        <v>1</v>
      </c>
      <c r="R61" s="9" t="s">
        <v>93</v>
      </c>
      <c r="S61" s="9">
        <v>25.9</v>
      </c>
      <c r="T61" s="9"/>
      <c r="U61" s="9">
        <v>0</v>
      </c>
      <c r="V61" s="9">
        <v>0</v>
      </c>
      <c r="W61" s="9">
        <v>0</v>
      </c>
      <c r="X61" s="9">
        <v>13</v>
      </c>
      <c r="Y61" s="9">
        <v>6</v>
      </c>
      <c r="Z61" s="9">
        <v>16</v>
      </c>
      <c r="AA61" s="9">
        <v>11</v>
      </c>
      <c r="AB61" s="9">
        <v>15</v>
      </c>
      <c r="AC61" s="9">
        <v>61</v>
      </c>
      <c r="AD61" s="9">
        <v>5</v>
      </c>
      <c r="AE61" s="9">
        <v>4</v>
      </c>
      <c r="AF61" s="9">
        <v>5</v>
      </c>
      <c r="AG61" s="9">
        <v>5</v>
      </c>
      <c r="AH61" s="9">
        <v>5</v>
      </c>
      <c r="AI61" s="9">
        <f t="shared" si="0"/>
        <v>24</v>
      </c>
      <c r="AJ61" s="9">
        <v>0</v>
      </c>
      <c r="AK61" s="9">
        <v>0</v>
      </c>
      <c r="AL61" s="9">
        <v>36.299999999999997</v>
      </c>
      <c r="AM61" s="9">
        <v>40.700000000000003</v>
      </c>
      <c r="AN61" s="9">
        <v>41</v>
      </c>
      <c r="AO61" s="9">
        <v>34.1</v>
      </c>
      <c r="AP61" s="9">
        <v>47.3</v>
      </c>
      <c r="AQ61" s="9">
        <v>30.5</v>
      </c>
      <c r="AR61" s="9">
        <v>60</v>
      </c>
      <c r="AS61" s="9">
        <v>57.8</v>
      </c>
      <c r="AT61" s="9">
        <v>61.9</v>
      </c>
      <c r="AU61" s="9">
        <v>45.8</v>
      </c>
      <c r="AV61" s="9">
        <v>0</v>
      </c>
      <c r="AW61" s="9">
        <v>0</v>
      </c>
      <c r="AX61" s="9">
        <v>3</v>
      </c>
      <c r="AY61" s="9">
        <v>3</v>
      </c>
      <c r="AZ61" s="9">
        <v>100</v>
      </c>
      <c r="BA61" s="9">
        <v>100</v>
      </c>
      <c r="BB61" s="9">
        <v>100</v>
      </c>
      <c r="BC61" s="9">
        <v>100</v>
      </c>
      <c r="BD61" s="9">
        <v>62.5</v>
      </c>
      <c r="BE61" s="9">
        <v>87.5</v>
      </c>
      <c r="BF61" s="9">
        <v>100</v>
      </c>
      <c r="BG61" s="9">
        <v>65</v>
      </c>
      <c r="BH61" s="9">
        <v>46.577100000000002</v>
      </c>
      <c r="BI61" s="9">
        <v>62.495899999999999</v>
      </c>
      <c r="BJ61" s="9">
        <v>1.5</v>
      </c>
      <c r="BK61" s="9">
        <v>0</v>
      </c>
      <c r="BL61" s="9">
        <v>0</v>
      </c>
      <c r="BM61" s="9">
        <v>0</v>
      </c>
      <c r="BN61" s="9">
        <v>0</v>
      </c>
      <c r="BO61" s="9">
        <v>1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1</v>
      </c>
      <c r="BY61" s="9">
        <v>0</v>
      </c>
      <c r="BZ61" s="9">
        <v>2</v>
      </c>
      <c r="CA61" s="9">
        <v>1</v>
      </c>
      <c r="CB61" s="9"/>
      <c r="CC61" s="9"/>
      <c r="CD61" s="9"/>
      <c r="CE61" s="9"/>
      <c r="CF61" s="9"/>
      <c r="CG61" s="9"/>
      <c r="CH61" s="9"/>
      <c r="CI61" s="9">
        <v>23</v>
      </c>
      <c r="CJ61" s="9">
        <v>22</v>
      </c>
      <c r="CK61" s="9">
        <v>22</v>
      </c>
      <c r="CL61" s="9">
        <v>23</v>
      </c>
      <c r="CM61" s="9">
        <v>38.619999999999997</v>
      </c>
      <c r="CN61" s="9">
        <v>40.32</v>
      </c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</row>
    <row r="62" spans="1:113" ht="16" x14ac:dyDescent="0.2">
      <c r="A62" s="9" t="s">
        <v>91</v>
      </c>
      <c r="B62" s="9">
        <v>0</v>
      </c>
      <c r="C62" s="9" t="s">
        <v>92</v>
      </c>
      <c r="D62" s="9">
        <v>1</v>
      </c>
      <c r="E62" s="9">
        <v>8.2255823530000001</v>
      </c>
      <c r="F62" s="9">
        <v>0.30376331400000001</v>
      </c>
      <c r="G62" s="9">
        <v>43.815217391304401</v>
      </c>
      <c r="H62" s="9">
        <v>52.040799744304401</v>
      </c>
      <c r="I62" s="9">
        <v>2.93864467</v>
      </c>
      <c r="J62" s="9">
        <v>0.81918670900000001</v>
      </c>
      <c r="K62" s="9">
        <v>3.6852941E-2</v>
      </c>
      <c r="L62" s="9">
        <v>1.629411765</v>
      </c>
      <c r="M62" s="9">
        <v>5.1941392000000003E-2</v>
      </c>
      <c r="N62" s="9">
        <v>169.14835164835165</v>
      </c>
      <c r="O62" s="9">
        <v>0</v>
      </c>
      <c r="P62" s="9">
        <v>41</v>
      </c>
      <c r="Q62" s="9">
        <v>0</v>
      </c>
      <c r="R62" s="9" t="s">
        <v>93</v>
      </c>
      <c r="S62" s="9">
        <v>24</v>
      </c>
      <c r="T62" s="9"/>
      <c r="U62" s="9">
        <v>0</v>
      </c>
      <c r="V62" s="9">
        <v>0</v>
      </c>
      <c r="W62" s="9">
        <v>0</v>
      </c>
      <c r="X62" s="9">
        <v>10</v>
      </c>
      <c r="Y62" s="9">
        <v>8</v>
      </c>
      <c r="Z62" s="9">
        <v>13</v>
      </c>
      <c r="AA62" s="9">
        <v>9</v>
      </c>
      <c r="AB62" s="9">
        <v>9</v>
      </c>
      <c r="AC62" s="9">
        <v>49</v>
      </c>
      <c r="AD62" s="9">
        <v>4</v>
      </c>
      <c r="AE62" s="9">
        <v>4</v>
      </c>
      <c r="AF62" s="9">
        <v>4</v>
      </c>
      <c r="AG62" s="9">
        <v>4</v>
      </c>
      <c r="AH62" s="9">
        <v>4</v>
      </c>
      <c r="AI62" s="9">
        <f t="shared" si="0"/>
        <v>20</v>
      </c>
      <c r="AJ62" s="9">
        <v>0</v>
      </c>
      <c r="AK62" s="9">
        <v>0</v>
      </c>
      <c r="AL62" s="9">
        <v>36.299999999999997</v>
      </c>
      <c r="AM62" s="9">
        <v>40.700000000000003</v>
      </c>
      <c r="AN62" s="9">
        <v>33.1</v>
      </c>
      <c r="AO62" s="9">
        <v>34.1</v>
      </c>
      <c r="AP62" s="9"/>
      <c r="AQ62" s="9">
        <v>30.5</v>
      </c>
      <c r="AR62" s="9">
        <v>40.4</v>
      </c>
      <c r="AS62" s="9">
        <v>33.5</v>
      </c>
      <c r="AT62" s="9">
        <v>61.9</v>
      </c>
      <c r="AU62" s="9">
        <v>56</v>
      </c>
      <c r="AV62" s="9">
        <v>0</v>
      </c>
      <c r="AW62" s="9">
        <v>0</v>
      </c>
      <c r="AX62" s="9">
        <v>0</v>
      </c>
      <c r="AY62" s="9">
        <v>0</v>
      </c>
      <c r="AZ62" s="9">
        <v>100</v>
      </c>
      <c r="BA62" s="9">
        <v>100</v>
      </c>
      <c r="BB62" s="9">
        <v>100</v>
      </c>
      <c r="BC62" s="9">
        <v>97</v>
      </c>
      <c r="BD62" s="9">
        <v>68.75</v>
      </c>
      <c r="BE62" s="9">
        <v>100</v>
      </c>
      <c r="BF62" s="9">
        <v>100</v>
      </c>
      <c r="BG62" s="9">
        <v>100</v>
      </c>
      <c r="BH62" s="9">
        <v>58.170499999999997</v>
      </c>
      <c r="BI62" s="9">
        <v>57.91</v>
      </c>
      <c r="BJ62" s="9">
        <v>1.1000000000000001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2</v>
      </c>
      <c r="CB62" s="9"/>
      <c r="CC62" s="9"/>
      <c r="CD62" s="9"/>
      <c r="CE62" s="9"/>
      <c r="CF62" s="9"/>
      <c r="CG62" s="9"/>
      <c r="CH62" s="9"/>
      <c r="CI62" s="9">
        <v>33.5</v>
      </c>
      <c r="CJ62" s="9">
        <v>36</v>
      </c>
      <c r="CK62" s="9">
        <v>29.5</v>
      </c>
      <c r="CL62" s="9">
        <v>30</v>
      </c>
      <c r="CM62" s="9">
        <v>18.8</v>
      </c>
      <c r="CN62" s="9">
        <v>9.98</v>
      </c>
      <c r="CO62" s="9">
        <v>0</v>
      </c>
      <c r="CP62" s="9">
        <v>0</v>
      </c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</row>
    <row r="63" spans="1:113" ht="16" x14ac:dyDescent="0.2">
      <c r="A63" s="9" t="s">
        <v>105</v>
      </c>
      <c r="B63" s="9">
        <v>0</v>
      </c>
      <c r="C63" s="9" t="s">
        <v>92</v>
      </c>
      <c r="D63" s="9">
        <v>1</v>
      </c>
      <c r="E63" s="9">
        <v>13.634547059999999</v>
      </c>
      <c r="F63" s="9">
        <v>1.3294852070000001</v>
      </c>
      <c r="G63" s="9">
        <v>72.402173910000002</v>
      </c>
      <c r="H63" s="9">
        <v>86.036720970000005</v>
      </c>
      <c r="I63" s="9">
        <v>3.4976751269999999</v>
      </c>
      <c r="J63" s="9">
        <v>0.84083860799999999</v>
      </c>
      <c r="K63" s="9">
        <v>3.9729411999999999E-2</v>
      </c>
      <c r="L63" s="9">
        <v>2.4641058820000001</v>
      </c>
      <c r="M63" s="9">
        <v>6.4131867999999995E-2</v>
      </c>
      <c r="N63" s="9">
        <v>293.41208790000002</v>
      </c>
      <c r="O63" s="9">
        <v>0</v>
      </c>
      <c r="P63" s="9">
        <v>47</v>
      </c>
      <c r="Q63" s="9">
        <v>1</v>
      </c>
      <c r="R63" s="9" t="s">
        <v>93</v>
      </c>
      <c r="S63" s="9">
        <v>24.7</v>
      </c>
      <c r="T63" s="9"/>
      <c r="U63" s="9">
        <v>0</v>
      </c>
      <c r="V63" s="9">
        <v>0</v>
      </c>
      <c r="W63" s="9">
        <v>0</v>
      </c>
      <c r="X63" s="9">
        <v>12</v>
      </c>
      <c r="Y63" s="9">
        <v>10</v>
      </c>
      <c r="Z63" s="9">
        <v>19</v>
      </c>
      <c r="AA63" s="9">
        <v>15</v>
      </c>
      <c r="AB63" s="9">
        <v>20</v>
      </c>
      <c r="AC63" s="9">
        <v>76</v>
      </c>
      <c r="AD63" s="9">
        <v>9</v>
      </c>
      <c r="AE63" s="9">
        <v>13</v>
      </c>
      <c r="AF63" s="9">
        <v>10</v>
      </c>
      <c r="AG63" s="9">
        <v>7</v>
      </c>
      <c r="AH63" s="9">
        <v>15</v>
      </c>
      <c r="AI63" s="9">
        <f t="shared" si="0"/>
        <v>54</v>
      </c>
      <c r="AJ63" s="9">
        <v>22</v>
      </c>
      <c r="AK63" s="9">
        <v>2</v>
      </c>
      <c r="AL63" s="9">
        <v>47.5</v>
      </c>
      <c r="AM63" s="9">
        <v>47.9</v>
      </c>
      <c r="AN63" s="9">
        <v>50.4</v>
      </c>
      <c r="AO63" s="9">
        <v>59</v>
      </c>
      <c r="AP63" s="9">
        <v>54</v>
      </c>
      <c r="AQ63" s="9">
        <v>43.9</v>
      </c>
      <c r="AR63" s="9">
        <v>55.9</v>
      </c>
      <c r="AS63" s="9">
        <v>57.4</v>
      </c>
      <c r="AT63" s="9">
        <v>50.8</v>
      </c>
      <c r="AU63" s="9">
        <v>48.3</v>
      </c>
      <c r="AV63" s="9">
        <v>3</v>
      </c>
      <c r="AW63" s="9">
        <v>2</v>
      </c>
      <c r="AX63" s="9">
        <v>5</v>
      </c>
      <c r="AY63" s="9">
        <v>7</v>
      </c>
      <c r="AZ63" s="9">
        <v>100</v>
      </c>
      <c r="BA63" s="9">
        <v>81.25</v>
      </c>
      <c r="BB63" s="9">
        <v>84</v>
      </c>
      <c r="BC63" s="9">
        <v>62</v>
      </c>
      <c r="BD63" s="9">
        <v>62.5</v>
      </c>
      <c r="BE63" s="9">
        <v>75</v>
      </c>
      <c r="BF63" s="9">
        <v>91.67</v>
      </c>
      <c r="BG63" s="9">
        <v>80</v>
      </c>
      <c r="BH63" s="9">
        <v>49.3384</v>
      </c>
      <c r="BI63" s="9">
        <v>52.3446</v>
      </c>
      <c r="BJ63" s="9">
        <v>1.1000000000000001</v>
      </c>
      <c r="BK63" s="9">
        <v>0</v>
      </c>
      <c r="BL63" s="9">
        <v>1</v>
      </c>
      <c r="BM63" s="9">
        <v>1</v>
      </c>
      <c r="BN63" s="9">
        <v>1</v>
      </c>
      <c r="BO63" s="9">
        <v>1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1</v>
      </c>
      <c r="BW63" s="9">
        <v>0</v>
      </c>
      <c r="BX63" s="9">
        <v>1</v>
      </c>
      <c r="BY63" s="9">
        <v>0</v>
      </c>
      <c r="BZ63" s="9">
        <v>6</v>
      </c>
      <c r="CA63" s="9">
        <v>5</v>
      </c>
      <c r="CB63" s="9">
        <v>46</v>
      </c>
      <c r="CC63" s="9">
        <v>50</v>
      </c>
      <c r="CD63" s="9">
        <v>37</v>
      </c>
      <c r="CE63" s="9">
        <v>41</v>
      </c>
      <c r="CF63" s="9">
        <v>53</v>
      </c>
      <c r="CG63" s="9">
        <v>49</v>
      </c>
      <c r="CH63" s="9">
        <v>0.35416666699999999</v>
      </c>
      <c r="CI63" s="9">
        <v>23</v>
      </c>
      <c r="CJ63" s="9">
        <v>29</v>
      </c>
      <c r="CK63" s="9">
        <v>25</v>
      </c>
      <c r="CL63" s="9">
        <v>28</v>
      </c>
      <c r="CM63" s="9">
        <v>45.58</v>
      </c>
      <c r="CN63" s="9">
        <v>43.18</v>
      </c>
      <c r="CO63" s="9"/>
      <c r="CP63" s="9">
        <v>0</v>
      </c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</row>
    <row r="64" spans="1:113" ht="16" x14ac:dyDescent="0.2">
      <c r="A64" s="9" t="s">
        <v>97</v>
      </c>
      <c r="B64" s="9">
        <v>0</v>
      </c>
      <c r="C64" s="9" t="s">
        <v>92</v>
      </c>
      <c r="D64" s="9">
        <v>1</v>
      </c>
      <c r="E64" s="9">
        <v>8.5011941180000008</v>
      </c>
      <c r="F64" s="9">
        <v>0.53156804700000004</v>
      </c>
      <c r="G64" s="9">
        <v>45.331521739130402</v>
      </c>
      <c r="H64" s="9">
        <v>53.832715857130403</v>
      </c>
      <c r="I64" s="9">
        <v>2.9756142130000001</v>
      </c>
      <c r="J64" s="9">
        <v>0.99193987299999997</v>
      </c>
      <c r="K64" s="9">
        <v>4.1058824000000001E-2</v>
      </c>
      <c r="L64" s="9">
        <v>1.496570588</v>
      </c>
      <c r="M64" s="9">
        <v>7.8230769000000006E-2</v>
      </c>
      <c r="N64" s="9">
        <v>174.82967032967034</v>
      </c>
      <c r="O64" s="9">
        <v>0</v>
      </c>
      <c r="P64" s="9">
        <v>54</v>
      </c>
      <c r="Q64" s="9">
        <v>1</v>
      </c>
      <c r="R64" s="9" t="s">
        <v>93</v>
      </c>
      <c r="S64" s="9">
        <v>26.3</v>
      </c>
      <c r="T64" s="9"/>
      <c r="U64" s="9">
        <v>0</v>
      </c>
      <c r="V64" s="9">
        <v>0</v>
      </c>
      <c r="W64" s="9">
        <v>0</v>
      </c>
      <c r="X64" s="9">
        <v>9</v>
      </c>
      <c r="Y64" s="9">
        <v>17</v>
      </c>
      <c r="Z64" s="9">
        <v>18</v>
      </c>
      <c r="AA64" s="9">
        <v>11</v>
      </c>
      <c r="AB64" s="9">
        <v>12</v>
      </c>
      <c r="AC64" s="9">
        <v>67</v>
      </c>
      <c r="AD64" s="9">
        <v>5</v>
      </c>
      <c r="AE64" s="9">
        <v>5</v>
      </c>
      <c r="AF64" s="9">
        <v>4</v>
      </c>
      <c r="AG64" s="9">
        <v>7</v>
      </c>
      <c r="AH64" s="9">
        <v>4</v>
      </c>
      <c r="AI64" s="9">
        <f t="shared" si="0"/>
        <v>25</v>
      </c>
      <c r="AJ64" s="9">
        <v>0</v>
      </c>
      <c r="AK64" s="9">
        <v>0</v>
      </c>
      <c r="AL64" s="9">
        <v>36.299999999999997</v>
      </c>
      <c r="AM64" s="9">
        <v>40.700000000000003</v>
      </c>
      <c r="AN64" s="9">
        <v>33.1</v>
      </c>
      <c r="AO64" s="9">
        <v>34.1</v>
      </c>
      <c r="AP64" s="9">
        <v>35.200000000000003</v>
      </c>
      <c r="AQ64" s="9">
        <v>35.299999999999997</v>
      </c>
      <c r="AR64" s="9">
        <v>40.9</v>
      </c>
      <c r="AS64" s="9">
        <v>42.3</v>
      </c>
      <c r="AT64" s="9">
        <v>61.9</v>
      </c>
      <c r="AU64" s="9">
        <v>62.5</v>
      </c>
      <c r="AV64" s="9">
        <v>0</v>
      </c>
      <c r="AW64" s="9">
        <v>0</v>
      </c>
      <c r="AX64" s="9">
        <v>2</v>
      </c>
      <c r="AY64" s="9">
        <v>2</v>
      </c>
      <c r="AZ64" s="9">
        <v>95</v>
      </c>
      <c r="BA64" s="9">
        <v>100</v>
      </c>
      <c r="BB64" s="9">
        <v>100</v>
      </c>
      <c r="BC64" s="9">
        <v>100</v>
      </c>
      <c r="BD64" s="9">
        <v>87.5</v>
      </c>
      <c r="BE64" s="9">
        <v>100</v>
      </c>
      <c r="BF64" s="9">
        <v>100</v>
      </c>
      <c r="BG64" s="9">
        <v>90</v>
      </c>
      <c r="BH64" s="9">
        <v>58.040700000000001</v>
      </c>
      <c r="BI64" s="9">
        <v>58.875100000000003</v>
      </c>
      <c r="BJ64" s="9">
        <v>1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3</v>
      </c>
      <c r="CB64" s="9">
        <v>51</v>
      </c>
      <c r="CC64" s="9">
        <v>52</v>
      </c>
      <c r="CD64" s="9">
        <v>39</v>
      </c>
      <c r="CE64" s="9">
        <v>35</v>
      </c>
      <c r="CF64" s="9">
        <v>50</v>
      </c>
      <c r="CG64" s="9">
        <v>46</v>
      </c>
      <c r="CH64" s="9">
        <v>0.45454545499999999</v>
      </c>
      <c r="CI64" s="9">
        <v>18</v>
      </c>
      <c r="CJ64" s="9">
        <v>15</v>
      </c>
      <c r="CK64" s="9">
        <v>13</v>
      </c>
      <c r="CL64" s="9">
        <v>17</v>
      </c>
      <c r="CM64" s="9">
        <v>23.67</v>
      </c>
      <c r="CN64" s="9">
        <v>6.53</v>
      </c>
      <c r="CO64" s="9"/>
      <c r="CP64" s="9">
        <v>0</v>
      </c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</row>
    <row r="65" spans="1:113" ht="16" x14ac:dyDescent="0.2">
      <c r="A65" s="9" t="s">
        <v>103</v>
      </c>
      <c r="B65" s="9">
        <v>0</v>
      </c>
      <c r="C65" s="9" t="s">
        <v>92</v>
      </c>
      <c r="D65" s="9">
        <v>1</v>
      </c>
      <c r="E65" s="9">
        <v>12.620988240000001</v>
      </c>
      <c r="F65" s="9">
        <v>0.88510650899999999</v>
      </c>
      <c r="G65" s="9" t="s">
        <v>100</v>
      </c>
      <c r="H65" s="9" t="s">
        <v>100</v>
      </c>
      <c r="I65" s="9">
        <v>4.0692335030000004</v>
      </c>
      <c r="J65" s="9">
        <v>1.0101234180000001</v>
      </c>
      <c r="K65" s="9">
        <v>4.1635294000000003E-2</v>
      </c>
      <c r="L65" s="9">
        <v>2.1644999999999999</v>
      </c>
      <c r="M65" s="9">
        <v>0.12661904800000001</v>
      </c>
      <c r="N65" s="9" t="s">
        <v>100</v>
      </c>
      <c r="O65" s="9">
        <v>0</v>
      </c>
      <c r="P65" s="9">
        <v>56</v>
      </c>
      <c r="Q65" s="9">
        <v>0</v>
      </c>
      <c r="R65" s="9" t="s">
        <v>93</v>
      </c>
      <c r="S65" s="9">
        <v>22.8</v>
      </c>
      <c r="T65" s="9"/>
      <c r="U65" s="9">
        <v>0</v>
      </c>
      <c r="V65" s="9">
        <v>0</v>
      </c>
      <c r="W65" s="9">
        <v>0</v>
      </c>
      <c r="X65" s="9">
        <v>15</v>
      </c>
      <c r="Y65" s="9">
        <v>12</v>
      </c>
      <c r="Z65" s="9">
        <v>14</v>
      </c>
      <c r="AA65" s="9">
        <v>16</v>
      </c>
      <c r="AB65" s="9">
        <v>14</v>
      </c>
      <c r="AC65" s="9">
        <v>71</v>
      </c>
      <c r="AD65" s="9">
        <v>6</v>
      </c>
      <c r="AE65" s="9">
        <v>5</v>
      </c>
      <c r="AF65" s="9">
        <v>6</v>
      </c>
      <c r="AG65" s="9">
        <v>5</v>
      </c>
      <c r="AH65" s="9">
        <v>5</v>
      </c>
      <c r="AI65" s="9">
        <f t="shared" si="0"/>
        <v>27</v>
      </c>
      <c r="AJ65" s="9">
        <v>10</v>
      </c>
      <c r="AK65" s="9">
        <v>0</v>
      </c>
      <c r="AL65" s="9">
        <v>43.1</v>
      </c>
      <c r="AM65" s="9">
        <v>40.700000000000003</v>
      </c>
      <c r="AN65" s="9">
        <v>45.6</v>
      </c>
      <c r="AO65" s="9">
        <v>34.1</v>
      </c>
      <c r="AP65" s="9">
        <v>52.9</v>
      </c>
      <c r="AQ65" s="9">
        <v>42.2</v>
      </c>
      <c r="AR65" s="9">
        <v>46.5</v>
      </c>
      <c r="AS65" s="9">
        <v>48.6</v>
      </c>
      <c r="AT65" s="9">
        <v>57.7</v>
      </c>
      <c r="AU65" s="9">
        <v>59</v>
      </c>
      <c r="AV65" s="9">
        <v>0</v>
      </c>
      <c r="AW65" s="9">
        <v>0</v>
      </c>
      <c r="AX65" s="9">
        <v>1</v>
      </c>
      <c r="AY65" s="9">
        <v>1</v>
      </c>
      <c r="AZ65" s="9">
        <v>95</v>
      </c>
      <c r="BA65" s="9">
        <v>93.75</v>
      </c>
      <c r="BB65" s="9">
        <v>100</v>
      </c>
      <c r="BC65" s="9">
        <v>95</v>
      </c>
      <c r="BD65" s="9">
        <v>75</v>
      </c>
      <c r="BE65" s="9">
        <v>100</v>
      </c>
      <c r="BF65" s="9">
        <v>100</v>
      </c>
      <c r="BG65" s="9">
        <v>85</v>
      </c>
      <c r="BH65" s="9">
        <v>55.616799999999998</v>
      </c>
      <c r="BI65" s="9">
        <v>57.8902</v>
      </c>
      <c r="BJ65" s="9">
        <v>1.1000000000000001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8</v>
      </c>
      <c r="CB65" s="9">
        <v>36</v>
      </c>
      <c r="CC65" s="9">
        <v>55</v>
      </c>
      <c r="CD65" s="9">
        <v>33</v>
      </c>
      <c r="CE65" s="9">
        <v>32</v>
      </c>
      <c r="CF65" s="9">
        <v>44</v>
      </c>
      <c r="CG65" s="9">
        <v>51</v>
      </c>
      <c r="CH65" s="9">
        <v>0.408163265</v>
      </c>
      <c r="CI65" s="9">
        <v>44</v>
      </c>
      <c r="CJ65" s="9">
        <v>44</v>
      </c>
      <c r="CK65" s="9">
        <v>39</v>
      </c>
      <c r="CL65" s="9">
        <v>40</v>
      </c>
      <c r="CM65" s="9">
        <v>33.549999999999997</v>
      </c>
      <c r="CN65" s="9">
        <v>23.05</v>
      </c>
      <c r="CO65" s="9">
        <v>0</v>
      </c>
      <c r="CP65" s="9">
        <v>0</v>
      </c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</row>
    <row r="66" spans="1:113" ht="16" x14ac:dyDescent="0.2">
      <c r="A66" s="9" t="s">
        <v>109</v>
      </c>
      <c r="B66" s="9">
        <v>0</v>
      </c>
      <c r="C66" s="9" t="s">
        <v>92</v>
      </c>
      <c r="D66" s="9">
        <v>1</v>
      </c>
      <c r="E66" s="9">
        <v>14.302394120000001</v>
      </c>
      <c r="F66" s="9">
        <v>1.0293964499999999</v>
      </c>
      <c r="G66" s="9">
        <v>72.690217390000001</v>
      </c>
      <c r="H66" s="9">
        <v>86.992611510000003</v>
      </c>
      <c r="I66" s="9">
        <v>4.2649492389999999</v>
      </c>
      <c r="J66" s="9">
        <v>0.84030696199999999</v>
      </c>
      <c r="K66" s="9">
        <v>4.1723529000000002E-2</v>
      </c>
      <c r="L66" s="9">
        <v>2.3187058820000002</v>
      </c>
      <c r="M66" s="9">
        <v>0.20452747299999999</v>
      </c>
      <c r="N66" s="9">
        <v>192.68131869999999</v>
      </c>
      <c r="O66" s="9">
        <v>0</v>
      </c>
      <c r="P66" s="9">
        <v>53</v>
      </c>
      <c r="Q66" s="9">
        <v>1</v>
      </c>
      <c r="R66" s="9" t="s">
        <v>93</v>
      </c>
      <c r="S66" s="9">
        <v>26.2</v>
      </c>
      <c r="T66" s="9"/>
      <c r="U66" s="9">
        <v>0</v>
      </c>
      <c r="V66" s="9">
        <v>0</v>
      </c>
      <c r="W66" s="9">
        <v>0</v>
      </c>
      <c r="X66" s="9">
        <v>11</v>
      </c>
      <c r="Y66" s="9">
        <v>7</v>
      </c>
      <c r="Z66" s="9">
        <v>9</v>
      </c>
      <c r="AA66" s="9">
        <v>11</v>
      </c>
      <c r="AB66" s="9">
        <v>13</v>
      </c>
      <c r="AC66" s="9">
        <v>51</v>
      </c>
      <c r="AD66" s="9">
        <v>5</v>
      </c>
      <c r="AE66" s="9">
        <v>6</v>
      </c>
      <c r="AF66" s="9">
        <v>11</v>
      </c>
      <c r="AG66" s="9">
        <v>4</v>
      </c>
      <c r="AH66" s="9">
        <v>4</v>
      </c>
      <c r="AI66" s="9">
        <f t="shared" si="0"/>
        <v>30</v>
      </c>
      <c r="AJ66" s="9">
        <v>0</v>
      </c>
      <c r="AK66" s="9">
        <v>0</v>
      </c>
      <c r="AL66" s="9">
        <v>47.5</v>
      </c>
      <c r="AM66" s="9">
        <v>40.700000000000003</v>
      </c>
      <c r="AN66" s="9">
        <v>33.1</v>
      </c>
      <c r="AO66" s="9">
        <v>53.4</v>
      </c>
      <c r="AP66" s="9">
        <v>30</v>
      </c>
      <c r="AQ66" s="9">
        <v>35.299999999999997</v>
      </c>
      <c r="AR66" s="9">
        <v>31.6</v>
      </c>
      <c r="AS66" s="9">
        <v>33.5</v>
      </c>
      <c r="AT66" s="9">
        <v>57.7</v>
      </c>
      <c r="AU66" s="9">
        <v>62.5</v>
      </c>
      <c r="AV66" s="9">
        <v>0</v>
      </c>
      <c r="AW66" s="9">
        <v>1</v>
      </c>
      <c r="AX66" s="9">
        <v>1</v>
      </c>
      <c r="AY66" s="9">
        <v>2</v>
      </c>
      <c r="AZ66" s="9">
        <v>100</v>
      </c>
      <c r="BA66" s="9">
        <v>100</v>
      </c>
      <c r="BB66" s="9">
        <v>84</v>
      </c>
      <c r="BC66" s="9">
        <v>95</v>
      </c>
      <c r="BD66" s="9">
        <v>75</v>
      </c>
      <c r="BE66" s="9">
        <v>100</v>
      </c>
      <c r="BF66" s="9">
        <v>100</v>
      </c>
      <c r="BG66" s="9">
        <v>100</v>
      </c>
      <c r="BH66" s="9">
        <v>59.538200000000003</v>
      </c>
      <c r="BI66" s="9">
        <v>55.645499999999998</v>
      </c>
      <c r="BJ66" s="9">
        <v>1</v>
      </c>
      <c r="BK66" s="9">
        <v>0</v>
      </c>
      <c r="BL66" s="9">
        <v>0</v>
      </c>
      <c r="BM66" s="9">
        <v>1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1</v>
      </c>
      <c r="CA66" s="9">
        <v>1</v>
      </c>
      <c r="CB66" s="9">
        <v>32</v>
      </c>
      <c r="CC66" s="9">
        <v>34</v>
      </c>
      <c r="CD66" s="9">
        <v>63</v>
      </c>
      <c r="CE66" s="9">
        <v>64</v>
      </c>
      <c r="CF66" s="9">
        <v>50</v>
      </c>
      <c r="CG66" s="9">
        <v>47</v>
      </c>
      <c r="CH66" s="9">
        <v>0.43478260899999999</v>
      </c>
      <c r="CI66" s="9">
        <v>32</v>
      </c>
      <c r="CJ66" s="9">
        <v>33</v>
      </c>
      <c r="CK66" s="9">
        <v>31</v>
      </c>
      <c r="CL66" s="9">
        <v>31</v>
      </c>
      <c r="CM66" s="9">
        <v>28.53</v>
      </c>
      <c r="CN66" s="9">
        <v>31.92</v>
      </c>
      <c r="CO66" s="9"/>
      <c r="CP66" s="9">
        <v>0</v>
      </c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</row>
    <row r="67" spans="1:113" ht="16" x14ac:dyDescent="0.2">
      <c r="A67" s="9" t="s">
        <v>95</v>
      </c>
      <c r="B67" s="9">
        <v>0</v>
      </c>
      <c r="C67" s="9" t="s">
        <v>92</v>
      </c>
      <c r="D67" s="9">
        <v>1</v>
      </c>
      <c r="E67" s="9">
        <v>6.258011765</v>
      </c>
      <c r="F67" s="9">
        <v>0.56326035500000005</v>
      </c>
      <c r="G67" s="9">
        <v>39.309782608695599</v>
      </c>
      <c r="H67" s="9">
        <v>45.567794373695598</v>
      </c>
      <c r="I67" s="9">
        <v>2.761385787</v>
      </c>
      <c r="J67" s="9">
        <v>0.76735443000000003</v>
      </c>
      <c r="K67" s="9">
        <v>4.2876470999999999E-2</v>
      </c>
      <c r="L67" s="9">
        <v>1.082994118</v>
      </c>
      <c r="M67" s="9">
        <v>6.8575092000000004E-2</v>
      </c>
      <c r="N67" s="9">
        <v>159.36263736263737</v>
      </c>
      <c r="O67" s="9">
        <v>0</v>
      </c>
      <c r="P67" s="9">
        <v>55</v>
      </c>
      <c r="Q67" s="9">
        <v>0</v>
      </c>
      <c r="R67" s="9" t="s">
        <v>96</v>
      </c>
      <c r="S67" s="9">
        <v>24.2</v>
      </c>
      <c r="T67" s="9"/>
      <c r="U67" s="9">
        <v>0</v>
      </c>
      <c r="V67" s="9">
        <v>0</v>
      </c>
      <c r="W67" s="9">
        <v>0</v>
      </c>
      <c r="X67" s="9">
        <v>12</v>
      </c>
      <c r="Y67" s="9">
        <v>12</v>
      </c>
      <c r="Z67" s="9">
        <v>14</v>
      </c>
      <c r="AA67" s="9">
        <v>14</v>
      </c>
      <c r="AB67" s="9">
        <v>12</v>
      </c>
      <c r="AC67" s="9">
        <v>64</v>
      </c>
      <c r="AD67" s="9">
        <v>4</v>
      </c>
      <c r="AE67" s="9">
        <v>4</v>
      </c>
      <c r="AF67" s="9">
        <v>4</v>
      </c>
      <c r="AG67" s="9">
        <v>4</v>
      </c>
      <c r="AH67" s="9">
        <v>4</v>
      </c>
      <c r="AI67" s="9">
        <f t="shared" si="0"/>
        <v>20</v>
      </c>
      <c r="AJ67" s="9">
        <v>0</v>
      </c>
      <c r="AK67" s="9">
        <v>0</v>
      </c>
      <c r="AL67" s="9">
        <v>36.299999999999997</v>
      </c>
      <c r="AM67" s="9">
        <v>40.700000000000003</v>
      </c>
      <c r="AN67" s="9">
        <v>33.1</v>
      </c>
      <c r="AO67" s="9">
        <v>34.1</v>
      </c>
      <c r="AP67" s="9"/>
      <c r="AQ67" s="9">
        <v>42.2</v>
      </c>
      <c r="AR67" s="9">
        <v>47.3</v>
      </c>
      <c r="AS67" s="9">
        <v>42.3</v>
      </c>
      <c r="AT67" s="9">
        <v>61.9</v>
      </c>
      <c r="AU67" s="9">
        <v>50.8</v>
      </c>
      <c r="AV67" s="9">
        <v>0</v>
      </c>
      <c r="AW67" s="9">
        <v>0</v>
      </c>
      <c r="AX67" s="9">
        <v>0</v>
      </c>
      <c r="AY67" s="9">
        <v>0</v>
      </c>
      <c r="AZ67" s="9">
        <v>95</v>
      </c>
      <c r="BA67" s="9">
        <v>87.5</v>
      </c>
      <c r="BB67" s="9">
        <v>100</v>
      </c>
      <c r="BC67" s="9">
        <v>82</v>
      </c>
      <c r="BD67" s="9">
        <v>68.75</v>
      </c>
      <c r="BE67" s="9">
        <v>100</v>
      </c>
      <c r="BF67" s="9">
        <v>100</v>
      </c>
      <c r="BG67" s="9">
        <v>80</v>
      </c>
      <c r="BH67" s="9">
        <v>53.956499999999998</v>
      </c>
      <c r="BI67" s="9">
        <v>56.053699999999999</v>
      </c>
      <c r="BJ67" s="9">
        <v>1.4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49</v>
      </c>
      <c r="CC67" s="9">
        <v>45</v>
      </c>
      <c r="CD67" s="9">
        <v>34</v>
      </c>
      <c r="CE67" s="9">
        <v>42</v>
      </c>
      <c r="CF67" s="9">
        <v>40</v>
      </c>
      <c r="CG67" s="9">
        <v>49</v>
      </c>
      <c r="CH67" s="9"/>
      <c r="CI67" s="9">
        <v>35.5</v>
      </c>
      <c r="CJ67" s="9">
        <v>36.5</v>
      </c>
      <c r="CK67" s="9">
        <v>39.5</v>
      </c>
      <c r="CL67" s="9">
        <v>42</v>
      </c>
      <c r="CM67" s="9">
        <v>37.729999999999997</v>
      </c>
      <c r="CN67" s="9">
        <v>36.71</v>
      </c>
      <c r="CO67" s="9"/>
      <c r="CP67" s="9">
        <v>0</v>
      </c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</row>
    <row r="68" spans="1:113" ht="16" x14ac:dyDescent="0.2">
      <c r="A68" s="9" t="s">
        <v>102</v>
      </c>
      <c r="B68" s="9">
        <v>0</v>
      </c>
      <c r="C68" s="9" t="s">
        <v>92</v>
      </c>
      <c r="D68" s="9">
        <v>1</v>
      </c>
      <c r="E68" s="9">
        <v>13.54038824</v>
      </c>
      <c r="F68" s="9">
        <v>0.72036686400000005</v>
      </c>
      <c r="G68" s="9" t="s">
        <v>100</v>
      </c>
      <c r="H68" s="9" t="s">
        <v>100</v>
      </c>
      <c r="I68" s="9">
        <v>3.4866497459999999</v>
      </c>
      <c r="J68" s="9">
        <v>1.015481013</v>
      </c>
      <c r="K68" s="9">
        <v>4.7088234999999999E-2</v>
      </c>
      <c r="L68" s="9">
        <v>2.1525352940000002</v>
      </c>
      <c r="M68" s="9">
        <v>4.1391941000000002E-2</v>
      </c>
      <c r="N68" s="9" t="s">
        <v>100</v>
      </c>
      <c r="O68" s="9">
        <v>0</v>
      </c>
      <c r="P68" s="9">
        <v>21</v>
      </c>
      <c r="Q68" s="9">
        <v>0</v>
      </c>
      <c r="R68" s="9" t="s">
        <v>93</v>
      </c>
      <c r="S68" s="9">
        <v>22.9</v>
      </c>
      <c r="T68" s="9"/>
      <c r="U68" s="9">
        <v>0</v>
      </c>
      <c r="V68" s="9">
        <v>0</v>
      </c>
      <c r="W68" s="9">
        <v>0</v>
      </c>
      <c r="X68" s="9">
        <v>12</v>
      </c>
      <c r="Y68" s="9">
        <v>6</v>
      </c>
      <c r="Z68" s="9">
        <v>8</v>
      </c>
      <c r="AA68" s="9">
        <v>8</v>
      </c>
      <c r="AB68" s="9">
        <v>8</v>
      </c>
      <c r="AC68" s="9">
        <v>42</v>
      </c>
      <c r="AD68" s="9">
        <v>4</v>
      </c>
      <c r="AE68" s="9">
        <v>4</v>
      </c>
      <c r="AF68" s="9">
        <v>4</v>
      </c>
      <c r="AG68" s="9">
        <v>4</v>
      </c>
      <c r="AH68" s="9">
        <v>4</v>
      </c>
      <c r="AI68" s="9">
        <f t="shared" si="0"/>
        <v>20</v>
      </c>
      <c r="AJ68" s="9">
        <v>0</v>
      </c>
      <c r="AK68" s="9">
        <v>0</v>
      </c>
      <c r="AL68" s="9">
        <v>36.299999999999997</v>
      </c>
      <c r="AM68" s="9">
        <v>40.700000000000003</v>
      </c>
      <c r="AN68" s="9">
        <v>33.1</v>
      </c>
      <c r="AO68" s="9">
        <v>34.1</v>
      </c>
      <c r="AP68" s="9">
        <v>30</v>
      </c>
      <c r="AQ68" s="9">
        <v>35.299999999999997</v>
      </c>
      <c r="AR68" s="9">
        <v>31.6</v>
      </c>
      <c r="AS68" s="9">
        <v>33.5</v>
      </c>
      <c r="AT68" s="9">
        <v>67.7</v>
      </c>
      <c r="AU68" s="9">
        <v>67.599999999999994</v>
      </c>
      <c r="AV68" s="9">
        <v>0</v>
      </c>
      <c r="AW68" s="9">
        <v>1</v>
      </c>
      <c r="AX68" s="9">
        <v>0</v>
      </c>
      <c r="AY68" s="9">
        <v>1</v>
      </c>
      <c r="AZ68" s="9">
        <v>100</v>
      </c>
      <c r="BA68" s="9">
        <v>100</v>
      </c>
      <c r="BB68" s="9">
        <v>100</v>
      </c>
      <c r="BC68" s="9">
        <v>96.25</v>
      </c>
      <c r="BD68" s="9">
        <v>87.5</v>
      </c>
      <c r="BE68" s="9">
        <v>100</v>
      </c>
      <c r="BF68" s="9">
        <v>100</v>
      </c>
      <c r="BG68" s="9">
        <v>100</v>
      </c>
      <c r="BH68" s="9">
        <v>60.289499999999997</v>
      </c>
      <c r="BI68" s="9">
        <v>58.080399999999997</v>
      </c>
      <c r="BJ68" s="9">
        <v>1</v>
      </c>
      <c r="BK68" s="9">
        <v>0</v>
      </c>
      <c r="BL68" s="9">
        <v>1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1</v>
      </c>
      <c r="CA68" s="9">
        <v>1</v>
      </c>
      <c r="CB68" s="9">
        <v>44</v>
      </c>
      <c r="CC68" s="9">
        <v>52</v>
      </c>
      <c r="CD68" s="9">
        <v>45</v>
      </c>
      <c r="CE68" s="9">
        <v>56</v>
      </c>
      <c r="CF68" s="9">
        <v>57</v>
      </c>
      <c r="CG68" s="9">
        <v>48</v>
      </c>
      <c r="CH68" s="9"/>
      <c r="CI68" s="9">
        <v>48</v>
      </c>
      <c r="CJ68" s="9">
        <v>52</v>
      </c>
      <c r="CK68" s="9">
        <v>42</v>
      </c>
      <c r="CL68" s="9">
        <v>46</v>
      </c>
      <c r="CM68" s="9">
        <v>16.670000000000002</v>
      </c>
      <c r="CN68" s="9">
        <v>15.18</v>
      </c>
      <c r="CO68" s="9"/>
      <c r="CP68" s="9">
        <v>1</v>
      </c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</row>
    <row r="69" spans="1:113" ht="16" x14ac:dyDescent="0.2">
      <c r="A69" s="9" t="s">
        <v>104</v>
      </c>
      <c r="B69" s="9">
        <v>0</v>
      </c>
      <c r="C69" s="9" t="s">
        <v>92</v>
      </c>
      <c r="D69" s="9">
        <v>1</v>
      </c>
      <c r="E69" s="9">
        <v>6.2326294119999996</v>
      </c>
      <c r="F69" s="9">
        <v>0.26112426</v>
      </c>
      <c r="G69" s="9">
        <v>41.989130430000003</v>
      </c>
      <c r="H69" s="9">
        <v>48.221759849999998</v>
      </c>
      <c r="I69" s="9">
        <v>6.7898071069999997</v>
      </c>
      <c r="J69" s="9">
        <v>0.80546835400000005</v>
      </c>
      <c r="K69" s="9">
        <v>5.4141175999999999E-2</v>
      </c>
      <c r="L69" s="9">
        <v>1.0224294119999999</v>
      </c>
      <c r="M69" s="9">
        <v>7.0157509000000007E-2</v>
      </c>
      <c r="N69" s="9">
        <v>127.95604400000001</v>
      </c>
      <c r="O69" s="9">
        <v>0</v>
      </c>
      <c r="P69" s="9">
        <v>35</v>
      </c>
      <c r="Q69" s="9">
        <v>0</v>
      </c>
      <c r="R69" s="9" t="s">
        <v>93</v>
      </c>
      <c r="S69" s="9">
        <v>24.4</v>
      </c>
      <c r="T69" s="9"/>
      <c r="U69" s="9">
        <v>0</v>
      </c>
      <c r="V69" s="9">
        <v>0</v>
      </c>
      <c r="W69" s="9">
        <v>0</v>
      </c>
      <c r="X69" s="9">
        <v>15</v>
      </c>
      <c r="Y69" s="9">
        <v>11</v>
      </c>
      <c r="Z69" s="9">
        <v>17</v>
      </c>
      <c r="AA69" s="9">
        <v>15</v>
      </c>
      <c r="AB69" s="9">
        <v>17</v>
      </c>
      <c r="AC69" s="9">
        <v>75</v>
      </c>
      <c r="AD69" s="9">
        <v>6</v>
      </c>
      <c r="AE69" s="9">
        <v>5</v>
      </c>
      <c r="AF69" s="9">
        <v>7</v>
      </c>
      <c r="AG69" s="9">
        <v>4</v>
      </c>
      <c r="AH69" s="9">
        <v>9</v>
      </c>
      <c r="AI69" s="9">
        <f t="shared" si="0"/>
        <v>31</v>
      </c>
      <c r="AJ69" s="9">
        <v>0</v>
      </c>
      <c r="AK69" s="9">
        <v>0</v>
      </c>
      <c r="AL69" s="9">
        <v>51.4</v>
      </c>
      <c r="AM69" s="9">
        <v>51.2</v>
      </c>
      <c r="AN69" s="9">
        <v>41</v>
      </c>
      <c r="AO69" s="9">
        <v>51.1</v>
      </c>
      <c r="AP69" s="9">
        <v>43.6</v>
      </c>
      <c r="AQ69" s="9">
        <v>38.1</v>
      </c>
      <c r="AR69" s="9">
        <v>46.2</v>
      </c>
      <c r="AS69" s="9">
        <v>45.2</v>
      </c>
      <c r="AT69" s="9">
        <v>57.7</v>
      </c>
      <c r="AU69" s="9">
        <v>59</v>
      </c>
      <c r="AV69" s="9">
        <v>0</v>
      </c>
      <c r="AW69" s="9">
        <v>3</v>
      </c>
      <c r="AX69" s="9">
        <v>1</v>
      </c>
      <c r="AY69" s="9">
        <v>4</v>
      </c>
      <c r="AZ69" s="9">
        <v>100</v>
      </c>
      <c r="BA69" s="9">
        <v>100</v>
      </c>
      <c r="BB69" s="9">
        <v>84</v>
      </c>
      <c r="BC69" s="9">
        <v>77</v>
      </c>
      <c r="BD69" s="9">
        <v>75</v>
      </c>
      <c r="BE69" s="9">
        <v>100</v>
      </c>
      <c r="BF69" s="9">
        <v>100</v>
      </c>
      <c r="BG69" s="9">
        <v>85</v>
      </c>
      <c r="BH69" s="9">
        <v>55.633299999999998</v>
      </c>
      <c r="BI69" s="9">
        <v>55.369900000000001</v>
      </c>
      <c r="BJ69" s="9">
        <v>1.1000000000000001</v>
      </c>
      <c r="BK69" s="9">
        <v>0</v>
      </c>
      <c r="BL69" s="9">
        <v>1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1</v>
      </c>
      <c r="BY69" s="9">
        <v>1</v>
      </c>
      <c r="BZ69" s="9">
        <v>3</v>
      </c>
      <c r="CA69" s="9">
        <v>5</v>
      </c>
      <c r="CB69" s="9">
        <v>59</v>
      </c>
      <c r="CC69" s="9">
        <v>71</v>
      </c>
      <c r="CD69" s="9">
        <v>61</v>
      </c>
      <c r="CE69" s="9">
        <v>60</v>
      </c>
      <c r="CF69" s="9">
        <v>61</v>
      </c>
      <c r="CG69" s="9">
        <v>65</v>
      </c>
      <c r="CH69" s="9">
        <v>0.77142857099999995</v>
      </c>
      <c r="CI69" s="9">
        <v>42</v>
      </c>
      <c r="CJ69" s="9">
        <v>46</v>
      </c>
      <c r="CK69" s="9">
        <v>40</v>
      </c>
      <c r="CL69" s="9">
        <v>40</v>
      </c>
      <c r="CM69" s="9">
        <v>30.68</v>
      </c>
      <c r="CN69" s="9">
        <v>31.96</v>
      </c>
      <c r="CO69" s="9"/>
      <c r="CP69" s="9">
        <v>0</v>
      </c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</row>
    <row r="70" spans="1:113" ht="17.5" customHeight="1" x14ac:dyDescent="0.2">
      <c r="A70" s="9" t="s">
        <v>107</v>
      </c>
      <c r="B70" s="9">
        <v>0</v>
      </c>
      <c r="C70" s="9" t="s">
        <v>92</v>
      </c>
      <c r="D70" s="9">
        <v>1</v>
      </c>
      <c r="E70" s="9">
        <v>13.459923529999999</v>
      </c>
      <c r="F70" s="9">
        <v>1.036467456</v>
      </c>
      <c r="G70" s="9">
        <v>66.60326087</v>
      </c>
      <c r="H70" s="9">
        <v>80.063184399999997</v>
      </c>
      <c r="I70" s="9">
        <v>5.3248883249999999</v>
      </c>
      <c r="J70" s="9">
        <v>0.82832594900000001</v>
      </c>
      <c r="K70" s="9">
        <v>6.5470587999999996E-2</v>
      </c>
      <c r="L70" s="9">
        <v>2.5189176469999999</v>
      </c>
      <c r="M70" s="9">
        <v>5.5996337E-2</v>
      </c>
      <c r="N70" s="9">
        <v>264.54945049999998</v>
      </c>
      <c r="O70" s="9">
        <v>0</v>
      </c>
      <c r="P70" s="9">
        <v>46</v>
      </c>
      <c r="Q70" s="9">
        <v>0</v>
      </c>
      <c r="R70" s="9" t="s">
        <v>96</v>
      </c>
      <c r="S70" s="9">
        <v>32.5</v>
      </c>
      <c r="T70" s="9"/>
      <c r="U70" s="9">
        <v>0</v>
      </c>
      <c r="V70" s="9">
        <v>0</v>
      </c>
      <c r="W70" s="9">
        <v>0</v>
      </c>
      <c r="X70" s="9">
        <v>15</v>
      </c>
      <c r="Y70" s="9">
        <v>12</v>
      </c>
      <c r="Z70" s="9">
        <v>18</v>
      </c>
      <c r="AA70" s="9">
        <v>16</v>
      </c>
      <c r="AB70" s="9">
        <v>21</v>
      </c>
      <c r="AC70" s="9">
        <v>82</v>
      </c>
      <c r="AD70" s="9">
        <v>12</v>
      </c>
      <c r="AE70" s="9">
        <v>11</v>
      </c>
      <c r="AF70" s="9">
        <v>11</v>
      </c>
      <c r="AG70" s="9">
        <v>8</v>
      </c>
      <c r="AH70" s="9">
        <v>15</v>
      </c>
      <c r="AI70" s="9">
        <f t="shared" si="0"/>
        <v>57</v>
      </c>
      <c r="AJ70" s="9">
        <v>0</v>
      </c>
      <c r="AK70" s="9">
        <v>0</v>
      </c>
      <c r="AL70" s="9">
        <v>36.299999999999997</v>
      </c>
      <c r="AM70" s="9">
        <v>40.700000000000003</v>
      </c>
      <c r="AN70" s="9">
        <v>443</v>
      </c>
      <c r="AO70" s="9">
        <v>34.1</v>
      </c>
      <c r="AP70" s="9">
        <v>47.3</v>
      </c>
      <c r="AQ70" s="9">
        <v>42.2</v>
      </c>
      <c r="AR70" s="9">
        <v>51.2</v>
      </c>
      <c r="AS70" s="9">
        <v>53.3</v>
      </c>
      <c r="AT70" s="9">
        <v>61.9</v>
      </c>
      <c r="AU70" s="9">
        <v>59</v>
      </c>
      <c r="AV70" s="9">
        <v>0</v>
      </c>
      <c r="AW70" s="9">
        <v>0</v>
      </c>
      <c r="AX70" s="9">
        <v>2</v>
      </c>
      <c r="AY70" s="9">
        <v>2</v>
      </c>
      <c r="AZ70" s="9">
        <v>95</v>
      </c>
      <c r="BA70" s="9">
        <v>93.75</v>
      </c>
      <c r="BB70" s="9">
        <v>100</v>
      </c>
      <c r="BC70" s="9">
        <v>67</v>
      </c>
      <c r="BD70" s="9">
        <v>68.75</v>
      </c>
      <c r="BE70" s="9">
        <v>100</v>
      </c>
      <c r="BF70" s="9">
        <v>91.67</v>
      </c>
      <c r="BG70" s="9">
        <v>75</v>
      </c>
      <c r="BH70" s="9">
        <v>50.784500000000001</v>
      </c>
      <c r="BI70" s="9">
        <v>56.471600000000002</v>
      </c>
      <c r="BJ70" s="9">
        <v>3.5</v>
      </c>
      <c r="BK70" s="9">
        <v>1</v>
      </c>
      <c r="BL70" s="9">
        <v>1</v>
      </c>
      <c r="BM70" s="9">
        <v>0</v>
      </c>
      <c r="BN70" s="9">
        <v>0</v>
      </c>
      <c r="BO70" s="9">
        <v>1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1</v>
      </c>
      <c r="BW70" s="9">
        <v>1</v>
      </c>
      <c r="BX70" s="9">
        <v>1</v>
      </c>
      <c r="BY70" s="9">
        <v>1</v>
      </c>
      <c r="BZ70" s="9">
        <v>7</v>
      </c>
      <c r="CA70" s="9">
        <v>4</v>
      </c>
      <c r="CB70" s="9">
        <v>40</v>
      </c>
      <c r="CC70" s="9">
        <v>51</v>
      </c>
      <c r="CD70" s="9">
        <v>51</v>
      </c>
      <c r="CE70" s="9">
        <v>48</v>
      </c>
      <c r="CF70" s="9">
        <v>48</v>
      </c>
      <c r="CG70" s="9">
        <v>48</v>
      </c>
      <c r="CH70" s="9">
        <v>0.60465116299999999</v>
      </c>
      <c r="CI70" s="9">
        <v>42</v>
      </c>
      <c r="CJ70" s="9">
        <v>44</v>
      </c>
      <c r="CK70" s="9">
        <v>38</v>
      </c>
      <c r="CL70" s="9">
        <v>38</v>
      </c>
      <c r="CM70" s="9">
        <v>32.299999999999997</v>
      </c>
      <c r="CN70" s="9">
        <v>16.399999999999999</v>
      </c>
      <c r="CO70" s="9"/>
      <c r="CP70" s="9">
        <v>0</v>
      </c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</row>
    <row r="71" spans="1:113" ht="20.5" customHeight="1" x14ac:dyDescent="0.2">
      <c r="A71" s="16" t="s">
        <v>94</v>
      </c>
      <c r="B71" s="9">
        <v>0</v>
      </c>
      <c r="C71" s="9" t="s">
        <v>92</v>
      </c>
      <c r="D71" s="9">
        <v>1</v>
      </c>
      <c r="E71" s="9">
        <v>14.30951765</v>
      </c>
      <c r="F71" s="9">
        <v>1.3196153850000001</v>
      </c>
      <c r="G71" s="9">
        <v>48.581521739130402</v>
      </c>
      <c r="H71" s="9">
        <v>62.891039389130398</v>
      </c>
      <c r="I71" s="9">
        <v>4.955598985</v>
      </c>
      <c r="J71" s="9">
        <v>0.62973417700000001</v>
      </c>
      <c r="K71" s="9">
        <v>7.4735293999999994E-2</v>
      </c>
      <c r="L71" s="9">
        <v>3.6810764709999999</v>
      </c>
      <c r="M71" s="9">
        <v>4.4882784000000002E-2</v>
      </c>
      <c r="N71" s="9">
        <v>291.84065934065933</v>
      </c>
      <c r="O71" s="9">
        <v>0</v>
      </c>
      <c r="P71" s="9">
        <v>34</v>
      </c>
      <c r="Q71" s="9">
        <v>1</v>
      </c>
      <c r="R71" s="9" t="s">
        <v>93</v>
      </c>
      <c r="S71" s="9">
        <v>23.6</v>
      </c>
      <c r="T71" s="9"/>
      <c r="U71" s="9">
        <v>0</v>
      </c>
      <c r="V71" s="9">
        <v>0</v>
      </c>
      <c r="W71" s="9">
        <v>0</v>
      </c>
      <c r="X71" s="9">
        <v>13</v>
      </c>
      <c r="Y71" s="9">
        <v>8</v>
      </c>
      <c r="Z71" s="9">
        <v>15</v>
      </c>
      <c r="AA71" s="9">
        <v>18</v>
      </c>
      <c r="AB71" s="9">
        <v>18</v>
      </c>
      <c r="AC71" s="9">
        <v>72</v>
      </c>
      <c r="AD71" s="9">
        <v>7</v>
      </c>
      <c r="AE71" s="9">
        <v>4</v>
      </c>
      <c r="AF71" s="9">
        <v>5</v>
      </c>
      <c r="AG71" s="9">
        <v>5</v>
      </c>
      <c r="AH71" s="9">
        <v>11</v>
      </c>
      <c r="AI71" s="9">
        <f t="shared" si="0"/>
        <v>32</v>
      </c>
      <c r="AJ71" s="9">
        <v>14</v>
      </c>
      <c r="AK71" s="9">
        <v>7</v>
      </c>
      <c r="AL71" s="9">
        <v>36.299999999999997</v>
      </c>
      <c r="AM71" s="9">
        <v>40.700000000000003</v>
      </c>
      <c r="AN71" s="9">
        <v>33.1</v>
      </c>
      <c r="AO71" s="9">
        <v>34.1</v>
      </c>
      <c r="AP71" s="9"/>
      <c r="AQ71" s="9">
        <v>42.2</v>
      </c>
      <c r="AR71" s="9">
        <v>48.5</v>
      </c>
      <c r="AS71" s="9">
        <v>41.2</v>
      </c>
      <c r="AT71" s="9">
        <v>61.9</v>
      </c>
      <c r="AU71" s="9">
        <v>48.3</v>
      </c>
      <c r="AV71" s="9">
        <v>0</v>
      </c>
      <c r="AW71" s="9">
        <v>0</v>
      </c>
      <c r="AX71" s="9">
        <v>1</v>
      </c>
      <c r="AY71" s="9">
        <v>1</v>
      </c>
      <c r="AZ71" s="9">
        <v>100</v>
      </c>
      <c r="BA71" s="9">
        <v>75</v>
      </c>
      <c r="BB71" s="9">
        <v>74</v>
      </c>
      <c r="BC71" s="9">
        <v>80</v>
      </c>
      <c r="BD71" s="9">
        <v>56.25</v>
      </c>
      <c r="BE71" s="9">
        <v>87.5</v>
      </c>
      <c r="BF71" s="9">
        <v>100</v>
      </c>
      <c r="BG71" s="9">
        <v>65</v>
      </c>
      <c r="BH71" s="9">
        <v>48.250700000000002</v>
      </c>
      <c r="BI71" s="9">
        <v>53.274700000000003</v>
      </c>
      <c r="BJ71" s="9">
        <v>1.5</v>
      </c>
      <c r="BK71" s="9">
        <v>0</v>
      </c>
      <c r="BL71" s="9">
        <v>0</v>
      </c>
      <c r="BM71" s="9">
        <v>0</v>
      </c>
      <c r="BN71" s="9">
        <v>0</v>
      </c>
      <c r="BO71" s="9">
        <v>1</v>
      </c>
      <c r="BP71" s="9">
        <v>0</v>
      </c>
      <c r="BQ71" s="9">
        <v>1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1</v>
      </c>
      <c r="BX71" s="9">
        <v>0</v>
      </c>
      <c r="BY71" s="9">
        <v>1</v>
      </c>
      <c r="BZ71" s="9">
        <v>4</v>
      </c>
      <c r="CA71" s="9">
        <v>3</v>
      </c>
      <c r="CB71" s="9">
        <v>41</v>
      </c>
      <c r="CC71" s="9">
        <v>33</v>
      </c>
      <c r="CD71" s="9">
        <v>75</v>
      </c>
      <c r="CE71" s="9">
        <v>61</v>
      </c>
      <c r="CF71" s="9">
        <v>57</v>
      </c>
      <c r="CG71" s="9">
        <v>53</v>
      </c>
      <c r="CH71" s="9"/>
      <c r="CI71" s="9">
        <v>30</v>
      </c>
      <c r="CJ71" s="9">
        <v>31</v>
      </c>
      <c r="CK71" s="9">
        <v>25</v>
      </c>
      <c r="CL71" s="9">
        <v>26</v>
      </c>
      <c r="CM71" s="9">
        <v>36.96</v>
      </c>
      <c r="CN71" s="9">
        <v>26.06</v>
      </c>
      <c r="CO71" s="9"/>
      <c r="CP71" s="9">
        <v>0</v>
      </c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</row>
    <row r="72" spans="1:113" ht="16" x14ac:dyDescent="0.2">
      <c r="A72" s="9" t="s">
        <v>108</v>
      </c>
      <c r="B72" s="9">
        <v>0</v>
      </c>
      <c r="C72" s="9" t="s">
        <v>92</v>
      </c>
      <c r="D72" s="9">
        <v>1</v>
      </c>
      <c r="E72" s="9">
        <v>17.769911759999999</v>
      </c>
      <c r="F72" s="9">
        <v>1.194059172</v>
      </c>
      <c r="G72" s="9">
        <v>72.391304349999999</v>
      </c>
      <c r="H72" s="9">
        <v>90.161216109999998</v>
      </c>
      <c r="I72" s="9">
        <v>4.8293705579999999</v>
      </c>
      <c r="J72" s="9">
        <v>0.83025632900000002</v>
      </c>
      <c r="K72" s="9">
        <v>7.5847058999999994E-2</v>
      </c>
      <c r="L72" s="9">
        <v>2.486282353</v>
      </c>
      <c r="M72" s="9">
        <v>4.8717949000000003E-2</v>
      </c>
      <c r="N72" s="9">
        <v>259.2802198</v>
      </c>
      <c r="O72" s="9">
        <v>0</v>
      </c>
      <c r="P72" s="9">
        <v>55</v>
      </c>
      <c r="Q72" s="9">
        <v>1</v>
      </c>
      <c r="R72" s="9" t="s">
        <v>93</v>
      </c>
      <c r="S72" s="9">
        <v>34.9</v>
      </c>
      <c r="T72" s="9"/>
      <c r="U72" s="9">
        <v>0</v>
      </c>
      <c r="V72" s="9">
        <v>0</v>
      </c>
      <c r="W72" s="9">
        <v>0</v>
      </c>
      <c r="X72" s="9">
        <v>10</v>
      </c>
      <c r="Y72" s="9">
        <v>8</v>
      </c>
      <c r="Z72" s="9">
        <v>13</v>
      </c>
      <c r="AA72" s="9">
        <v>12</v>
      </c>
      <c r="AB72" s="9">
        <v>12</v>
      </c>
      <c r="AC72" s="9">
        <v>55</v>
      </c>
      <c r="AD72" s="9">
        <v>7</v>
      </c>
      <c r="AE72" s="9">
        <v>7</v>
      </c>
      <c r="AF72" s="9">
        <v>4</v>
      </c>
      <c r="AG72" s="9">
        <v>4</v>
      </c>
      <c r="AH72" s="9">
        <v>4</v>
      </c>
      <c r="AI72" s="9">
        <f t="shared" si="0"/>
        <v>26</v>
      </c>
      <c r="AJ72" s="9">
        <v>2</v>
      </c>
      <c r="AK72" s="9">
        <v>0</v>
      </c>
      <c r="AL72" s="9">
        <v>51.4</v>
      </c>
      <c r="AM72" s="9">
        <v>47.9</v>
      </c>
      <c r="AN72" s="9">
        <v>33.1</v>
      </c>
      <c r="AO72" s="9">
        <v>52.3</v>
      </c>
      <c r="AP72" s="9">
        <v>38.700000000000003</v>
      </c>
      <c r="AQ72" s="9">
        <v>53.4</v>
      </c>
      <c r="AR72" s="9">
        <v>39.700000000000003</v>
      </c>
      <c r="AS72" s="9">
        <v>41.3</v>
      </c>
      <c r="AT72" s="9">
        <v>61.9</v>
      </c>
      <c r="AU72" s="9">
        <v>62.5</v>
      </c>
      <c r="AV72" s="9">
        <v>3</v>
      </c>
      <c r="AW72" s="9">
        <v>1</v>
      </c>
      <c r="AX72" s="9">
        <v>1</v>
      </c>
      <c r="AY72" s="9">
        <v>2</v>
      </c>
      <c r="AZ72" s="9">
        <v>95</v>
      </c>
      <c r="BA72" s="9">
        <v>93.75</v>
      </c>
      <c r="BB72" s="9">
        <v>74</v>
      </c>
      <c r="BC72" s="9">
        <v>87</v>
      </c>
      <c r="BD72" s="9">
        <v>75</v>
      </c>
      <c r="BE72" s="9">
        <v>100</v>
      </c>
      <c r="BF72" s="9">
        <v>100</v>
      </c>
      <c r="BG72" s="9">
        <v>90</v>
      </c>
      <c r="BH72" s="9">
        <v>58.075600000000001</v>
      </c>
      <c r="BI72" s="9">
        <v>52.902299999999997</v>
      </c>
      <c r="BJ72" s="9">
        <v>1</v>
      </c>
      <c r="BK72" s="9">
        <v>0</v>
      </c>
      <c r="BL72" s="9">
        <v>0</v>
      </c>
      <c r="BM72" s="9">
        <v>1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1</v>
      </c>
      <c r="BW72" s="9">
        <v>1</v>
      </c>
      <c r="BX72" s="9">
        <v>0</v>
      </c>
      <c r="BY72" s="9">
        <v>1</v>
      </c>
      <c r="BZ72" s="9">
        <v>4</v>
      </c>
      <c r="CA72" s="9">
        <v>9</v>
      </c>
      <c r="CB72" s="9">
        <v>59</v>
      </c>
      <c r="CC72" s="9">
        <v>54</v>
      </c>
      <c r="CD72" s="9">
        <v>43</v>
      </c>
      <c r="CE72" s="9">
        <v>48</v>
      </c>
      <c r="CF72" s="9">
        <v>57</v>
      </c>
      <c r="CG72" s="9">
        <v>49</v>
      </c>
      <c r="CH72" s="9">
        <v>0.408163265</v>
      </c>
      <c r="CI72" s="9">
        <v>30</v>
      </c>
      <c r="CJ72" s="9">
        <v>32</v>
      </c>
      <c r="CK72" s="9">
        <v>33</v>
      </c>
      <c r="CL72" s="9">
        <v>33</v>
      </c>
      <c r="CM72" s="9">
        <v>30.76</v>
      </c>
      <c r="CN72" s="9">
        <v>12.07</v>
      </c>
      <c r="CO72" s="9"/>
      <c r="CP72" s="9">
        <v>0</v>
      </c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</row>
    <row r="73" spans="1:113" ht="16" x14ac:dyDescent="0.2">
      <c r="A73" s="9" t="s">
        <v>110</v>
      </c>
      <c r="B73" s="9">
        <v>0</v>
      </c>
      <c r="C73" s="9" t="s">
        <v>92</v>
      </c>
      <c r="D73" s="9">
        <v>1</v>
      </c>
      <c r="E73" s="9">
        <v>11.95803529</v>
      </c>
      <c r="F73" s="9">
        <v>1.845579882</v>
      </c>
      <c r="G73" s="9">
        <v>48.467391300000003</v>
      </c>
      <c r="H73" s="9">
        <v>60.425426600000002</v>
      </c>
      <c r="I73" s="9">
        <v>2.908395939</v>
      </c>
      <c r="J73" s="9">
        <v>0.76061075899999997</v>
      </c>
      <c r="K73" s="9">
        <v>9.4376471000000003E-2</v>
      </c>
      <c r="L73" s="9">
        <v>2.0476705879999999</v>
      </c>
      <c r="M73" s="9">
        <v>0.15353113600000001</v>
      </c>
      <c r="N73" s="9">
        <v>142.20329670000001</v>
      </c>
      <c r="O73" s="9">
        <v>0</v>
      </c>
      <c r="P73" s="9">
        <v>39</v>
      </c>
      <c r="Q73" s="9">
        <v>0</v>
      </c>
      <c r="R73" s="9" t="s">
        <v>93</v>
      </c>
      <c r="S73" s="9">
        <v>28.7</v>
      </c>
      <c r="T73" s="9"/>
      <c r="U73" s="9">
        <v>0</v>
      </c>
      <c r="V73" s="9">
        <v>0</v>
      </c>
      <c r="W73" s="9">
        <v>0</v>
      </c>
      <c r="X73" s="9">
        <v>9</v>
      </c>
      <c r="Y73" s="9">
        <v>6</v>
      </c>
      <c r="Z73" s="9">
        <v>12</v>
      </c>
      <c r="AA73" s="9">
        <v>8</v>
      </c>
      <c r="AB73" s="9">
        <v>9</v>
      </c>
      <c r="AC73" s="9">
        <v>44</v>
      </c>
      <c r="AD73" s="9">
        <v>5</v>
      </c>
      <c r="AE73" s="9">
        <v>4</v>
      </c>
      <c r="AF73" s="9">
        <v>4</v>
      </c>
      <c r="AG73" s="9">
        <v>7</v>
      </c>
      <c r="AH73" s="9">
        <v>4</v>
      </c>
      <c r="AI73" s="9">
        <f t="shared" si="0"/>
        <v>24</v>
      </c>
      <c r="AJ73" s="9">
        <v>0</v>
      </c>
      <c r="AK73" s="9">
        <v>0</v>
      </c>
      <c r="AL73" s="9">
        <v>36.299999999999997</v>
      </c>
      <c r="AM73" s="9">
        <v>40.700000000000003</v>
      </c>
      <c r="AN73" s="9">
        <v>33.1</v>
      </c>
      <c r="AO73" s="9">
        <v>34.1</v>
      </c>
      <c r="AP73" s="9">
        <v>35.200000000000003</v>
      </c>
      <c r="AQ73" s="9">
        <v>40.4</v>
      </c>
      <c r="AR73" s="9">
        <v>42.5</v>
      </c>
      <c r="AS73" s="9">
        <v>40.6</v>
      </c>
      <c r="AT73" s="9">
        <v>67.7</v>
      </c>
      <c r="AU73" s="9">
        <v>59</v>
      </c>
      <c r="AV73" s="9">
        <v>0</v>
      </c>
      <c r="AW73" s="9">
        <v>0</v>
      </c>
      <c r="AX73" s="9">
        <v>1</v>
      </c>
      <c r="AY73" s="9">
        <v>1</v>
      </c>
      <c r="AZ73" s="9">
        <v>100</v>
      </c>
      <c r="BA73" s="9">
        <v>100</v>
      </c>
      <c r="BB73" s="9">
        <v>100</v>
      </c>
      <c r="BC73" s="9">
        <v>100</v>
      </c>
      <c r="BD73" s="9">
        <v>75</v>
      </c>
      <c r="BE73" s="9">
        <v>100</v>
      </c>
      <c r="BF73" s="9">
        <v>100</v>
      </c>
      <c r="BG73" s="9">
        <v>90</v>
      </c>
      <c r="BH73" s="9">
        <v>56.161000000000001</v>
      </c>
      <c r="BI73" s="9">
        <v>59.570599999999999</v>
      </c>
      <c r="BJ73" s="9">
        <v>1.1000000000000001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2</v>
      </c>
      <c r="CB73" s="9"/>
      <c r="CC73" s="9"/>
      <c r="CD73" s="9"/>
      <c r="CE73" s="9"/>
      <c r="CF73" s="9"/>
      <c r="CG73" s="9"/>
      <c r="CH73" s="9">
        <v>0.45454545499999999</v>
      </c>
      <c r="CI73" s="9">
        <v>40</v>
      </c>
      <c r="CJ73" s="9">
        <v>44</v>
      </c>
      <c r="CK73" s="9">
        <v>49</v>
      </c>
      <c r="CL73" s="9">
        <v>50</v>
      </c>
      <c r="CM73" s="9">
        <v>18.25</v>
      </c>
      <c r="CN73" s="9">
        <v>46.1</v>
      </c>
      <c r="CO73" s="9">
        <v>0</v>
      </c>
      <c r="CP73" s="9">
        <v>1</v>
      </c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</row>
    <row r="74" spans="1:113" ht="16" x14ac:dyDescent="0.2">
      <c r="A74" s="9" t="s">
        <v>106</v>
      </c>
      <c r="B74" s="9">
        <v>0</v>
      </c>
      <c r="C74" s="9" t="s">
        <v>92</v>
      </c>
      <c r="D74" s="9">
        <v>1</v>
      </c>
      <c r="E74" s="9">
        <v>11.536135290000001</v>
      </c>
      <c r="F74" s="9">
        <v>1.3499881659999999</v>
      </c>
      <c r="G74" s="9">
        <v>58.168478260869598</v>
      </c>
      <c r="H74" s="9">
        <v>69.704613550869595</v>
      </c>
      <c r="I74" s="9">
        <v>3.3935329950000002</v>
      </c>
      <c r="J74" s="9">
        <v>0.98406329100000001</v>
      </c>
      <c r="K74" s="9">
        <v>9.7311764999999995E-2</v>
      </c>
      <c r="L74" s="9">
        <v>2.131111765</v>
      </c>
      <c r="M74" s="9">
        <v>7.4985347999999993E-2</v>
      </c>
      <c r="N74" s="9">
        <v>373.8131868131868</v>
      </c>
      <c r="O74" s="9">
        <v>0</v>
      </c>
      <c r="P74" s="9">
        <v>56</v>
      </c>
      <c r="Q74" s="9">
        <v>1</v>
      </c>
      <c r="R74" s="9" t="s">
        <v>93</v>
      </c>
      <c r="S74" s="9">
        <v>26</v>
      </c>
      <c r="T74" s="9"/>
      <c r="U74" s="9">
        <v>0</v>
      </c>
      <c r="V74" s="9">
        <v>0</v>
      </c>
      <c r="W74" s="9">
        <v>0</v>
      </c>
      <c r="X74" s="9">
        <v>15</v>
      </c>
      <c r="Y74" s="9">
        <v>15</v>
      </c>
      <c r="Z74" s="9">
        <v>18</v>
      </c>
      <c r="AA74" s="9">
        <v>15</v>
      </c>
      <c r="AB74" s="9">
        <v>21</v>
      </c>
      <c r="AC74" s="9">
        <v>84</v>
      </c>
      <c r="AD74" s="9">
        <v>8</v>
      </c>
      <c r="AE74" s="9">
        <v>6</v>
      </c>
      <c r="AF74" s="9">
        <v>5</v>
      </c>
      <c r="AG74" s="9">
        <v>6</v>
      </c>
      <c r="AH74" s="9">
        <v>9</v>
      </c>
      <c r="AI74" s="9">
        <f t="shared" si="0"/>
        <v>34</v>
      </c>
      <c r="AJ74" s="9">
        <v>0</v>
      </c>
      <c r="AK74" s="9">
        <v>0</v>
      </c>
      <c r="AL74" s="9">
        <v>36.299999999999997</v>
      </c>
      <c r="AM74" s="9">
        <v>40.700000000000003</v>
      </c>
      <c r="AN74" s="9">
        <v>42.8</v>
      </c>
      <c r="AO74" s="9">
        <v>34.1</v>
      </c>
      <c r="AP74" s="9">
        <v>35.200000000000003</v>
      </c>
      <c r="AQ74" s="9">
        <v>49.1</v>
      </c>
      <c r="AR74" s="9">
        <v>58.4</v>
      </c>
      <c r="AS74" s="9">
        <v>52.3</v>
      </c>
      <c r="AT74" s="9">
        <v>57.7</v>
      </c>
      <c r="AU74" s="9">
        <v>50.8</v>
      </c>
      <c r="AV74" s="9">
        <v>0</v>
      </c>
      <c r="AW74" s="9">
        <v>0</v>
      </c>
      <c r="AX74" s="9">
        <v>1</v>
      </c>
      <c r="AY74" s="9">
        <v>1</v>
      </c>
      <c r="AZ74" s="9">
        <v>100</v>
      </c>
      <c r="BA74" s="9">
        <v>100</v>
      </c>
      <c r="BB74" s="9">
        <v>100</v>
      </c>
      <c r="BC74" s="9">
        <v>77</v>
      </c>
      <c r="BD74" s="9">
        <v>87.5</v>
      </c>
      <c r="BE74" s="9">
        <v>100</v>
      </c>
      <c r="BF74" s="9">
        <v>100</v>
      </c>
      <c r="BG74" s="9">
        <v>70</v>
      </c>
      <c r="BH74" s="9">
        <v>52.356000000000002</v>
      </c>
      <c r="BI74" s="9">
        <v>59.4925</v>
      </c>
      <c r="BJ74" s="9">
        <v>2.2000000000000002</v>
      </c>
      <c r="BK74" s="9">
        <v>0</v>
      </c>
      <c r="BL74" s="9">
        <v>0</v>
      </c>
      <c r="BM74" s="9">
        <v>0</v>
      </c>
      <c r="BN74" s="9">
        <v>0</v>
      </c>
      <c r="BO74" s="9">
        <v>1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1</v>
      </c>
      <c r="BV74" s="9">
        <v>0</v>
      </c>
      <c r="BW74" s="9">
        <v>1</v>
      </c>
      <c r="BX74" s="9">
        <v>0</v>
      </c>
      <c r="BY74" s="9">
        <v>1</v>
      </c>
      <c r="BZ74" s="9">
        <v>4</v>
      </c>
      <c r="CA74" s="9">
        <v>8</v>
      </c>
      <c r="CB74" s="9">
        <v>36</v>
      </c>
      <c r="CC74" s="9">
        <v>52</v>
      </c>
      <c r="CD74" s="9">
        <v>53</v>
      </c>
      <c r="CE74" s="9">
        <v>58</v>
      </c>
      <c r="CF74" s="9">
        <v>43</v>
      </c>
      <c r="CG74" s="9">
        <v>43</v>
      </c>
      <c r="CH74" s="9">
        <v>0.369565217</v>
      </c>
      <c r="CI74" s="9">
        <v>60</v>
      </c>
      <c r="CJ74" s="9">
        <v>60</v>
      </c>
      <c r="CK74" s="9">
        <v>42</v>
      </c>
      <c r="CL74" s="9">
        <v>42</v>
      </c>
      <c r="CM74" s="9">
        <v>25.61</v>
      </c>
      <c r="CN74" s="9">
        <v>10.52</v>
      </c>
      <c r="CO74" s="9"/>
      <c r="CP74" s="9">
        <v>0</v>
      </c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</row>
    <row r="75" spans="1:113" ht="16" x14ac:dyDescent="0.2">
      <c r="A75" s="9" t="s">
        <v>99</v>
      </c>
      <c r="B75" s="9">
        <v>0</v>
      </c>
      <c r="C75" s="9" t="s">
        <v>92</v>
      </c>
      <c r="D75" s="9">
        <v>1</v>
      </c>
      <c r="E75" s="9">
        <v>13.362276469999999</v>
      </c>
      <c r="F75" s="9">
        <v>0.75813609500000001</v>
      </c>
      <c r="G75" s="9">
        <v>65.10326087</v>
      </c>
      <c r="H75" s="9">
        <v>78.465537339999997</v>
      </c>
      <c r="I75" s="9">
        <v>3.9404365480000001</v>
      </c>
      <c r="J75" s="9">
        <v>0.77085759499999995</v>
      </c>
      <c r="K75" s="9" t="s">
        <v>100</v>
      </c>
      <c r="L75" s="9">
        <v>3.1154470590000001</v>
      </c>
      <c r="M75" s="9">
        <v>0.117604396</v>
      </c>
      <c r="N75" s="9">
        <v>170.09340660000001</v>
      </c>
      <c r="O75" s="9">
        <v>0</v>
      </c>
      <c r="P75" s="9">
        <v>19</v>
      </c>
      <c r="Q75" s="9">
        <v>1</v>
      </c>
      <c r="R75" s="9" t="s">
        <v>96</v>
      </c>
      <c r="S75" s="9">
        <v>27.9</v>
      </c>
      <c r="T75" s="9"/>
      <c r="U75" s="9">
        <v>0</v>
      </c>
      <c r="V75" s="9">
        <v>0</v>
      </c>
      <c r="W75" s="9">
        <v>0</v>
      </c>
      <c r="X75" s="9">
        <v>13</v>
      </c>
      <c r="Y75" s="9">
        <v>9</v>
      </c>
      <c r="Z75" s="9">
        <v>14</v>
      </c>
      <c r="AA75" s="9">
        <v>12</v>
      </c>
      <c r="AB75" s="9">
        <v>9</v>
      </c>
      <c r="AC75" s="9">
        <v>57</v>
      </c>
      <c r="AD75" s="9">
        <v>5</v>
      </c>
      <c r="AE75" s="9">
        <v>5</v>
      </c>
      <c r="AF75" s="9">
        <v>4</v>
      </c>
      <c r="AG75" s="9">
        <v>4</v>
      </c>
      <c r="AH75" s="9">
        <v>9</v>
      </c>
      <c r="AI75" s="9">
        <f t="shared" si="0"/>
        <v>27</v>
      </c>
      <c r="AJ75" s="9">
        <v>0</v>
      </c>
      <c r="AK75" s="9">
        <v>0</v>
      </c>
      <c r="AL75" s="9">
        <v>36.299999999999997</v>
      </c>
      <c r="AM75" s="9">
        <v>40.700000000000003</v>
      </c>
      <c r="AN75" s="9">
        <v>33.1</v>
      </c>
      <c r="AO75" s="9">
        <v>34.1</v>
      </c>
      <c r="AP75" s="9">
        <v>38.700000000000003</v>
      </c>
      <c r="AQ75" s="9">
        <v>38.1</v>
      </c>
      <c r="AR75" s="9">
        <v>31.6</v>
      </c>
      <c r="AS75" s="9">
        <v>33.5</v>
      </c>
      <c r="AT75" s="9">
        <v>61.9</v>
      </c>
      <c r="AU75" s="9">
        <v>59</v>
      </c>
      <c r="AV75" s="9">
        <v>0</v>
      </c>
      <c r="AW75" s="9">
        <v>0</v>
      </c>
      <c r="AX75" s="9">
        <v>0</v>
      </c>
      <c r="AY75" s="9">
        <v>0</v>
      </c>
      <c r="AZ75" s="9">
        <v>100</v>
      </c>
      <c r="BA75" s="9">
        <v>100</v>
      </c>
      <c r="BB75" s="9">
        <v>100</v>
      </c>
      <c r="BC75" s="9">
        <v>92</v>
      </c>
      <c r="BD75" s="9">
        <v>68.75</v>
      </c>
      <c r="BE75" s="9">
        <v>100</v>
      </c>
      <c r="BF75" s="9">
        <v>100</v>
      </c>
      <c r="BG75" s="9">
        <v>90</v>
      </c>
      <c r="BH75" s="9">
        <v>55.515500000000003</v>
      </c>
      <c r="BI75" s="9">
        <v>58.546700000000001</v>
      </c>
      <c r="BJ75" s="9">
        <v>1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2</v>
      </c>
      <c r="CB75" s="9">
        <v>42</v>
      </c>
      <c r="CC75" s="9">
        <v>54</v>
      </c>
      <c r="CD75" s="9">
        <v>56</v>
      </c>
      <c r="CE75" s="9">
        <v>62</v>
      </c>
      <c r="CF75" s="9">
        <v>45</v>
      </c>
      <c r="CG75" s="9">
        <v>49</v>
      </c>
      <c r="CH75" s="9">
        <v>0.38297872300000002</v>
      </c>
      <c r="CI75" s="9">
        <v>30.5</v>
      </c>
      <c r="CJ75" s="9">
        <v>36</v>
      </c>
      <c r="CK75" s="9">
        <v>34</v>
      </c>
      <c r="CL75" s="9">
        <v>34</v>
      </c>
      <c r="CM75" s="9">
        <v>9.25</v>
      </c>
      <c r="CN75" s="9">
        <v>47.25</v>
      </c>
      <c r="CO75" s="9"/>
      <c r="CP75" s="9">
        <v>1</v>
      </c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</row>
    <row r="76" spans="1:113" ht="16" x14ac:dyDescent="0.2">
      <c r="A76" s="9" t="s">
        <v>120</v>
      </c>
      <c r="B76" s="9">
        <v>1</v>
      </c>
      <c r="C76" s="9" t="s">
        <v>92</v>
      </c>
      <c r="D76" s="9">
        <v>1</v>
      </c>
      <c r="E76" s="9">
        <v>11.41672941</v>
      </c>
      <c r="F76" s="9">
        <v>1.3436449699999999</v>
      </c>
      <c r="G76" s="9">
        <v>54.065440219999999</v>
      </c>
      <c r="H76" s="9">
        <v>65.482169630000001</v>
      </c>
      <c r="I76" s="9">
        <v>3.9259847720000001</v>
      </c>
      <c r="J76" s="9">
        <v>1.075936709</v>
      </c>
      <c r="K76" s="15">
        <v>3.2679738562091504E-3</v>
      </c>
      <c r="L76" s="9">
        <v>3.4504882349999999</v>
      </c>
      <c r="M76" s="9">
        <v>8.0208791000000002E-2</v>
      </c>
      <c r="N76" s="9">
        <v>361.86548900000003</v>
      </c>
      <c r="O76" s="9">
        <v>1</v>
      </c>
      <c r="P76" s="9">
        <v>52</v>
      </c>
      <c r="Q76" s="9">
        <v>0</v>
      </c>
      <c r="R76" s="9" t="s">
        <v>93</v>
      </c>
      <c r="S76" s="9">
        <v>33.4</v>
      </c>
      <c r="T76" s="9">
        <v>20</v>
      </c>
      <c r="U76" s="9">
        <v>1</v>
      </c>
      <c r="V76" s="9">
        <v>1</v>
      </c>
      <c r="W76" s="9">
        <v>1</v>
      </c>
      <c r="X76" s="9">
        <v>24</v>
      </c>
      <c r="Y76" s="9">
        <v>16</v>
      </c>
      <c r="Z76" s="9">
        <v>18</v>
      </c>
      <c r="AA76" s="9">
        <v>14</v>
      </c>
      <c r="AB76" s="9">
        <v>25</v>
      </c>
      <c r="AC76" s="9">
        <v>97</v>
      </c>
      <c r="AD76" s="9">
        <v>20</v>
      </c>
      <c r="AE76" s="9">
        <v>20</v>
      </c>
      <c r="AF76" s="9">
        <v>20</v>
      </c>
      <c r="AG76" s="9">
        <v>12</v>
      </c>
      <c r="AH76" s="9">
        <v>19</v>
      </c>
      <c r="AI76" s="9">
        <f t="shared" si="0"/>
        <v>91</v>
      </c>
      <c r="AJ76" s="9">
        <v>69</v>
      </c>
      <c r="AK76" s="9">
        <v>8</v>
      </c>
      <c r="AL76" s="9">
        <v>68.400000000000006</v>
      </c>
      <c r="AM76" s="9">
        <v>72.099999999999994</v>
      </c>
      <c r="AN76" s="9">
        <v>61.3</v>
      </c>
      <c r="AO76" s="9">
        <v>64.5</v>
      </c>
      <c r="AP76" s="9">
        <v>70.7</v>
      </c>
      <c r="AQ76" s="9">
        <v>66.2</v>
      </c>
      <c r="AR76" s="9">
        <v>49.9</v>
      </c>
      <c r="AS76" s="9">
        <v>50.1</v>
      </c>
      <c r="AT76" s="9">
        <v>23.5</v>
      </c>
      <c r="AU76" s="9">
        <v>45.8</v>
      </c>
      <c r="AV76" s="9">
        <v>52</v>
      </c>
      <c r="AW76" s="9">
        <v>17</v>
      </c>
      <c r="AX76" s="9">
        <v>9</v>
      </c>
      <c r="AY76" s="9">
        <v>26</v>
      </c>
      <c r="AZ76" s="9">
        <v>10</v>
      </c>
      <c r="BA76" s="9">
        <v>0</v>
      </c>
      <c r="BB76" s="9">
        <v>12</v>
      </c>
      <c r="BC76" s="9">
        <v>25</v>
      </c>
      <c r="BD76" s="9">
        <v>0</v>
      </c>
      <c r="BE76" s="9">
        <v>62.5</v>
      </c>
      <c r="BF76" s="9">
        <v>100</v>
      </c>
      <c r="BG76" s="9">
        <v>85</v>
      </c>
      <c r="BH76" s="9">
        <v>59.324599999999997</v>
      </c>
      <c r="BI76" s="9">
        <v>9.8123000000000005</v>
      </c>
      <c r="BJ76" s="9">
        <v>2.4</v>
      </c>
      <c r="BK76" s="9">
        <v>1</v>
      </c>
      <c r="BL76" s="9">
        <v>1</v>
      </c>
      <c r="BM76" s="9">
        <v>2</v>
      </c>
      <c r="BN76" s="9">
        <v>0</v>
      </c>
      <c r="BO76" s="9">
        <v>2</v>
      </c>
      <c r="BP76" s="9">
        <v>1</v>
      </c>
      <c r="BQ76" s="9">
        <v>1</v>
      </c>
      <c r="BR76" s="9">
        <v>0</v>
      </c>
      <c r="BS76" s="9">
        <v>2</v>
      </c>
      <c r="BT76" s="9">
        <v>1</v>
      </c>
      <c r="BU76" s="9">
        <v>1</v>
      </c>
      <c r="BV76" s="9">
        <v>0</v>
      </c>
      <c r="BW76" s="9">
        <v>1</v>
      </c>
      <c r="BX76" s="9">
        <v>2</v>
      </c>
      <c r="BY76" s="9">
        <v>2</v>
      </c>
      <c r="BZ76" s="9">
        <v>17</v>
      </c>
      <c r="CA76" s="9">
        <v>14</v>
      </c>
      <c r="CB76" s="9">
        <v>54</v>
      </c>
      <c r="CC76" s="9">
        <v>50</v>
      </c>
      <c r="CD76" s="9">
        <v>51</v>
      </c>
      <c r="CE76" s="9">
        <v>52</v>
      </c>
      <c r="CF76" s="9">
        <v>54</v>
      </c>
      <c r="CG76" s="9">
        <v>54</v>
      </c>
      <c r="CH76" s="9">
        <v>0.48888888899999999</v>
      </c>
      <c r="CI76" s="9">
        <v>31</v>
      </c>
      <c r="CJ76" s="9">
        <v>32</v>
      </c>
      <c r="CK76" s="9">
        <v>22</v>
      </c>
      <c r="CL76" s="9">
        <v>28</v>
      </c>
      <c r="CM76" s="9">
        <v>27.78</v>
      </c>
      <c r="CN76" s="9">
        <v>38.86</v>
      </c>
      <c r="CO76" s="9"/>
      <c r="CP76" s="18">
        <v>0</v>
      </c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</row>
    <row r="77" spans="1:113" ht="16" x14ac:dyDescent="0.2">
      <c r="A77" s="9" t="s">
        <v>121</v>
      </c>
      <c r="B77" s="9">
        <v>1</v>
      </c>
      <c r="C77" s="9" t="s">
        <v>92</v>
      </c>
      <c r="D77" s="9">
        <v>1</v>
      </c>
      <c r="E77" s="9">
        <v>5.9136823529999996</v>
      </c>
      <c r="F77" s="9">
        <v>0.66994082799999999</v>
      </c>
      <c r="G77" s="9">
        <v>38.891701089999998</v>
      </c>
      <c r="H77" s="9">
        <v>44.80538344</v>
      </c>
      <c r="I77" s="9">
        <v>2.7783654819999999</v>
      </c>
      <c r="J77" s="9">
        <v>1.21835443</v>
      </c>
      <c r="K77" s="9">
        <v>1.7647059E-2</v>
      </c>
      <c r="L77" s="9">
        <v>1.911764706</v>
      </c>
      <c r="M77" s="9">
        <v>0.16483516500000001</v>
      </c>
      <c r="N77" s="9">
        <v>277.4287253</v>
      </c>
      <c r="O77" s="9">
        <v>1</v>
      </c>
      <c r="P77" s="9">
        <v>60</v>
      </c>
      <c r="Q77" s="9">
        <v>1</v>
      </c>
      <c r="R77" s="9" t="s">
        <v>93</v>
      </c>
      <c r="S77" s="9">
        <v>28.7</v>
      </c>
      <c r="T77" s="9">
        <v>24</v>
      </c>
      <c r="U77" s="9">
        <v>1</v>
      </c>
      <c r="V77" s="9">
        <v>1</v>
      </c>
      <c r="W77" s="9">
        <v>1</v>
      </c>
      <c r="X77" s="9">
        <v>21</v>
      </c>
      <c r="Y77" s="9">
        <v>15</v>
      </c>
      <c r="Z77" s="9">
        <v>23</v>
      </c>
      <c r="AA77" s="9">
        <v>18</v>
      </c>
      <c r="AB77" s="9">
        <v>20</v>
      </c>
      <c r="AC77" s="9">
        <v>97</v>
      </c>
      <c r="AD77" s="9">
        <v>20</v>
      </c>
      <c r="AE77" s="9">
        <v>18</v>
      </c>
      <c r="AF77" s="9">
        <v>17</v>
      </c>
      <c r="AG77" s="9">
        <v>10</v>
      </c>
      <c r="AH77" s="9">
        <v>17</v>
      </c>
      <c r="AI77" s="9">
        <f t="shared" si="0"/>
        <v>82</v>
      </c>
      <c r="AJ77" s="9">
        <v>44</v>
      </c>
      <c r="AK77" s="9">
        <v>8</v>
      </c>
      <c r="AL77" s="9">
        <v>64.900000000000006</v>
      </c>
      <c r="AM77" s="9">
        <v>69.2</v>
      </c>
      <c r="AN77" s="9">
        <v>77.8</v>
      </c>
      <c r="AO77" s="9">
        <v>58.1</v>
      </c>
      <c r="AP77" s="9">
        <v>66.3</v>
      </c>
      <c r="AQ77" s="9">
        <v>58.1</v>
      </c>
      <c r="AR77" s="9">
        <v>47.2</v>
      </c>
      <c r="AS77" s="9">
        <v>42.5</v>
      </c>
      <c r="AT77" s="9">
        <v>29.6</v>
      </c>
      <c r="AU77" s="9">
        <v>50.8</v>
      </c>
      <c r="AV77" s="9">
        <v>20</v>
      </c>
      <c r="AW77" s="9">
        <v>19</v>
      </c>
      <c r="AX77" s="9">
        <v>11</v>
      </c>
      <c r="AY77" s="9">
        <v>30</v>
      </c>
      <c r="AZ77" s="9">
        <v>15</v>
      </c>
      <c r="BA77" s="9">
        <v>0</v>
      </c>
      <c r="BB77" s="9">
        <v>22</v>
      </c>
      <c r="BC77" s="9">
        <v>25</v>
      </c>
      <c r="BD77" s="9">
        <v>12.5</v>
      </c>
      <c r="BE77" s="9">
        <v>12.5</v>
      </c>
      <c r="BF77" s="9">
        <v>100</v>
      </c>
      <c r="BG77" s="9">
        <v>85</v>
      </c>
      <c r="BH77" s="9">
        <v>54.076500000000003</v>
      </c>
      <c r="BI77" s="9">
        <v>12.3369</v>
      </c>
      <c r="BJ77" s="9">
        <v>1.5</v>
      </c>
      <c r="BK77" s="9">
        <v>1</v>
      </c>
      <c r="BL77" s="9">
        <v>1</v>
      </c>
      <c r="BM77" s="9">
        <v>2</v>
      </c>
      <c r="BN77" s="9">
        <v>0</v>
      </c>
      <c r="BO77" s="9">
        <v>1</v>
      </c>
      <c r="BP77" s="9">
        <v>0</v>
      </c>
      <c r="BQ77" s="9">
        <v>1</v>
      </c>
      <c r="BR77" s="9">
        <v>0</v>
      </c>
      <c r="BS77" s="9">
        <v>0</v>
      </c>
      <c r="BT77" s="9">
        <v>1</v>
      </c>
      <c r="BU77" s="9">
        <v>0</v>
      </c>
      <c r="BV77" s="9">
        <v>1</v>
      </c>
      <c r="BW77" s="9">
        <v>1</v>
      </c>
      <c r="BX77" s="9">
        <v>2</v>
      </c>
      <c r="BY77" s="9">
        <v>2</v>
      </c>
      <c r="BZ77" s="9">
        <v>13</v>
      </c>
      <c r="CA77" s="9">
        <v>9</v>
      </c>
      <c r="CB77" s="9">
        <v>52</v>
      </c>
      <c r="CC77" s="9">
        <v>49</v>
      </c>
      <c r="CD77" s="9">
        <v>59</v>
      </c>
      <c r="CE77" s="9">
        <v>69</v>
      </c>
      <c r="CF77" s="9">
        <v>52</v>
      </c>
      <c r="CG77" s="9">
        <v>52</v>
      </c>
      <c r="CH77" s="9">
        <v>0.43181818199999999</v>
      </c>
      <c r="CI77" s="9">
        <v>36</v>
      </c>
      <c r="CJ77" s="9">
        <v>32</v>
      </c>
      <c r="CK77" s="9">
        <v>30</v>
      </c>
      <c r="CL77" s="9">
        <v>28</v>
      </c>
      <c r="CM77" s="9">
        <v>16.510000000000002</v>
      </c>
      <c r="CN77" s="9">
        <v>11.35</v>
      </c>
      <c r="CO77" s="9"/>
      <c r="CP77" s="9">
        <v>0</v>
      </c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</row>
    <row r="78" spans="1:113" ht="16" x14ac:dyDescent="0.2">
      <c r="A78" s="9" t="s">
        <v>117</v>
      </c>
      <c r="B78" s="9">
        <v>1</v>
      </c>
      <c r="C78" s="9" t="s">
        <v>92</v>
      </c>
      <c r="D78" s="9">
        <v>1</v>
      </c>
      <c r="E78" s="9">
        <v>7.5310176469999996</v>
      </c>
      <c r="F78" s="9">
        <v>0.54211834299999995</v>
      </c>
      <c r="G78" s="9">
        <v>36.16010326</v>
      </c>
      <c r="H78" s="9">
        <v>43.691120910000002</v>
      </c>
      <c r="I78" s="9">
        <v>2.8791319799999999</v>
      </c>
      <c r="J78" s="9">
        <v>0.667829114</v>
      </c>
      <c r="K78" s="9">
        <v>1.9294117999999999E-2</v>
      </c>
      <c r="L78" s="9">
        <v>1.739235294</v>
      </c>
      <c r="M78" s="9">
        <v>6.5446885999999996E-2</v>
      </c>
      <c r="N78" s="9">
        <v>213.97462089999999</v>
      </c>
      <c r="O78" s="9">
        <v>1</v>
      </c>
      <c r="P78" s="9">
        <v>36</v>
      </c>
      <c r="Q78" s="9">
        <v>1</v>
      </c>
      <c r="R78" s="9" t="s">
        <v>93</v>
      </c>
      <c r="S78" s="9">
        <v>37.5</v>
      </c>
      <c r="T78" s="9">
        <v>20</v>
      </c>
      <c r="U78" s="9">
        <v>1</v>
      </c>
      <c r="V78" s="9">
        <v>1</v>
      </c>
      <c r="W78" s="9">
        <v>1</v>
      </c>
      <c r="X78" s="9">
        <v>21</v>
      </c>
      <c r="Y78" s="9">
        <v>10</v>
      </c>
      <c r="Z78" s="9">
        <v>18</v>
      </c>
      <c r="AA78" s="9">
        <v>11</v>
      </c>
      <c r="AB78" s="9">
        <v>21</v>
      </c>
      <c r="AC78" s="9">
        <v>81</v>
      </c>
      <c r="AD78" s="9">
        <v>17</v>
      </c>
      <c r="AE78" s="9">
        <v>19</v>
      </c>
      <c r="AF78" s="9">
        <v>14</v>
      </c>
      <c r="AG78" s="9">
        <v>10</v>
      </c>
      <c r="AH78" s="9">
        <v>13</v>
      </c>
      <c r="AI78" s="9">
        <f t="shared" si="0"/>
        <v>73</v>
      </c>
      <c r="AJ78" s="9">
        <v>32</v>
      </c>
      <c r="AK78" s="9">
        <v>5</v>
      </c>
      <c r="AL78" s="9">
        <v>58.5</v>
      </c>
      <c r="AM78" s="9">
        <v>56.6</v>
      </c>
      <c r="AN78" s="9">
        <v>67.5</v>
      </c>
      <c r="AO78" s="9">
        <v>53.4</v>
      </c>
      <c r="AP78" s="9">
        <v>55.1</v>
      </c>
      <c r="AQ78" s="9">
        <v>51.3</v>
      </c>
      <c r="AR78" s="9">
        <v>50.1</v>
      </c>
      <c r="AS78" s="9">
        <v>49</v>
      </c>
      <c r="AT78" s="9">
        <v>34.9</v>
      </c>
      <c r="AU78" s="9">
        <v>48.3</v>
      </c>
      <c r="AV78" s="9">
        <v>18</v>
      </c>
      <c r="AW78" s="9">
        <v>13</v>
      </c>
      <c r="AX78" s="9">
        <v>8</v>
      </c>
      <c r="AY78" s="9">
        <v>21</v>
      </c>
      <c r="AZ78" s="9">
        <v>25</v>
      </c>
      <c r="BA78" s="9">
        <v>6.25</v>
      </c>
      <c r="BB78" s="9">
        <v>51</v>
      </c>
      <c r="BC78" s="9">
        <v>20</v>
      </c>
      <c r="BD78" s="9">
        <v>18.75</v>
      </c>
      <c r="BE78" s="9">
        <v>12.5</v>
      </c>
      <c r="BF78" s="9">
        <v>100</v>
      </c>
      <c r="BG78" s="9">
        <v>75</v>
      </c>
      <c r="BH78" s="9">
        <v>49.7151</v>
      </c>
      <c r="BI78" s="9">
        <v>19.468900000000001</v>
      </c>
      <c r="BJ78" s="9">
        <v>3.9</v>
      </c>
      <c r="BK78" s="9">
        <v>0</v>
      </c>
      <c r="BL78" s="9">
        <v>1</v>
      </c>
      <c r="BM78" s="9">
        <v>1</v>
      </c>
      <c r="BN78" s="9">
        <v>2</v>
      </c>
      <c r="BO78" s="9">
        <v>2</v>
      </c>
      <c r="BP78" s="9">
        <v>0</v>
      </c>
      <c r="BQ78" s="9">
        <v>0</v>
      </c>
      <c r="BR78" s="9">
        <v>0</v>
      </c>
      <c r="BS78" s="9">
        <v>0</v>
      </c>
      <c r="BT78" s="9">
        <v>1</v>
      </c>
      <c r="BU78" s="9">
        <v>0</v>
      </c>
      <c r="BV78" s="9">
        <v>0</v>
      </c>
      <c r="BW78" s="9">
        <v>0</v>
      </c>
      <c r="BX78" s="9">
        <v>2</v>
      </c>
      <c r="BY78" s="9">
        <v>1</v>
      </c>
      <c r="BZ78" s="9">
        <v>10</v>
      </c>
      <c r="CA78" s="9">
        <v>6</v>
      </c>
      <c r="CB78" s="9">
        <v>36</v>
      </c>
      <c r="CC78" s="9">
        <v>55</v>
      </c>
      <c r="CD78" s="9">
        <v>75</v>
      </c>
      <c r="CE78" s="9">
        <v>61</v>
      </c>
      <c r="CF78" s="9">
        <v>48</v>
      </c>
      <c r="CG78" s="9">
        <v>36</v>
      </c>
      <c r="CH78" s="9">
        <v>0.16981132099999999</v>
      </c>
      <c r="CI78" s="9">
        <v>34</v>
      </c>
      <c r="CJ78" s="9">
        <v>29</v>
      </c>
      <c r="CK78" s="9">
        <v>24</v>
      </c>
      <c r="CL78" s="9">
        <v>26</v>
      </c>
      <c r="CM78" s="9">
        <v>3.71</v>
      </c>
      <c r="CN78" s="9">
        <v>16.7</v>
      </c>
      <c r="CO78" s="9"/>
      <c r="CP78" s="9">
        <v>0</v>
      </c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</row>
    <row r="79" spans="1:113" ht="16" x14ac:dyDescent="0.2">
      <c r="A79" s="9" t="s">
        <v>123</v>
      </c>
      <c r="B79" s="9">
        <v>1</v>
      </c>
      <c r="C79" s="9" t="s">
        <v>92</v>
      </c>
      <c r="D79" s="9">
        <v>1</v>
      </c>
      <c r="E79" s="9">
        <v>7.3685647059999999</v>
      </c>
      <c r="F79" s="9">
        <v>0.564284024</v>
      </c>
      <c r="G79" s="9">
        <v>43.231635869999998</v>
      </c>
      <c r="H79" s="9">
        <v>50.600200579999999</v>
      </c>
      <c r="I79" s="9">
        <v>2.2505685280000001</v>
      </c>
      <c r="J79" s="9">
        <v>0.47917405099999999</v>
      </c>
      <c r="K79" s="9">
        <v>2.6258824E-2</v>
      </c>
      <c r="L79" s="9">
        <v>1.1785882350000001</v>
      </c>
      <c r="M79" s="15">
        <v>1.4245000000000001E-2</v>
      </c>
      <c r="N79" s="9">
        <v>150.02033520000001</v>
      </c>
      <c r="O79" s="9">
        <v>1</v>
      </c>
      <c r="P79" s="9">
        <v>43</v>
      </c>
      <c r="Q79" s="9">
        <v>1</v>
      </c>
      <c r="R79" s="9" t="s">
        <v>116</v>
      </c>
      <c r="S79" s="9">
        <v>20.2</v>
      </c>
      <c r="T79" s="9">
        <v>59</v>
      </c>
      <c r="U79" s="9">
        <v>1</v>
      </c>
      <c r="V79" s="9">
        <v>0</v>
      </c>
      <c r="W79" s="9">
        <v>1</v>
      </c>
      <c r="X79" s="9">
        <v>16</v>
      </c>
      <c r="Y79" s="9">
        <v>9</v>
      </c>
      <c r="Z79" s="9">
        <v>18</v>
      </c>
      <c r="AA79" s="9">
        <v>12</v>
      </c>
      <c r="AB79" s="9">
        <v>16</v>
      </c>
      <c r="AC79" s="9">
        <v>71</v>
      </c>
      <c r="AD79" s="9">
        <v>15</v>
      </c>
      <c r="AE79" s="9">
        <v>20</v>
      </c>
      <c r="AF79" s="9">
        <v>12</v>
      </c>
      <c r="AG79" s="9">
        <v>4</v>
      </c>
      <c r="AH79" s="9">
        <v>8</v>
      </c>
      <c r="AI79" s="9">
        <f t="shared" si="0"/>
        <v>59</v>
      </c>
      <c r="AJ79" s="9">
        <v>4</v>
      </c>
      <c r="AK79" s="9">
        <v>1</v>
      </c>
      <c r="AL79" s="9">
        <v>36.299999999999997</v>
      </c>
      <c r="AM79" s="9">
        <v>40.700000000000003</v>
      </c>
      <c r="AN79" s="9">
        <v>63.3</v>
      </c>
      <c r="AO79" s="9">
        <v>34.1</v>
      </c>
      <c r="AP79" s="9">
        <v>50.3</v>
      </c>
      <c r="AQ79" s="9">
        <v>52.4</v>
      </c>
      <c r="AR79" s="9">
        <v>50.7</v>
      </c>
      <c r="AS79" s="9">
        <v>46.4</v>
      </c>
      <c r="AT79" s="9">
        <v>32.4</v>
      </c>
      <c r="AU79" s="9">
        <v>62.5</v>
      </c>
      <c r="AV79" s="9">
        <v>0</v>
      </c>
      <c r="AW79" s="9">
        <v>0</v>
      </c>
      <c r="AX79" s="9">
        <v>6</v>
      </c>
      <c r="AY79" s="9">
        <v>6</v>
      </c>
      <c r="AZ79" s="9">
        <v>15</v>
      </c>
      <c r="BA79" s="9">
        <v>18.75</v>
      </c>
      <c r="BB79" s="9">
        <v>84</v>
      </c>
      <c r="BC79" s="9">
        <v>30</v>
      </c>
      <c r="BD79" s="9">
        <v>25</v>
      </c>
      <c r="BE79" s="9">
        <v>12.5</v>
      </c>
      <c r="BF79" s="9">
        <v>100</v>
      </c>
      <c r="BG79" s="9">
        <v>75</v>
      </c>
      <c r="BH79" s="9">
        <v>49.3613</v>
      </c>
      <c r="BI79" s="9">
        <v>25.0322</v>
      </c>
      <c r="BJ79" s="9">
        <v>1.1000000000000001</v>
      </c>
      <c r="BK79" s="9">
        <v>0</v>
      </c>
      <c r="BL79" s="9">
        <v>0</v>
      </c>
      <c r="BM79" s="9">
        <v>0</v>
      </c>
      <c r="BN79" s="9">
        <v>1</v>
      </c>
      <c r="BO79" s="9">
        <v>1</v>
      </c>
      <c r="BP79" s="9">
        <v>0</v>
      </c>
      <c r="BQ79" s="9">
        <v>1</v>
      </c>
      <c r="BR79" s="9">
        <v>0</v>
      </c>
      <c r="BS79" s="9">
        <v>0</v>
      </c>
      <c r="BT79" s="9">
        <v>1</v>
      </c>
      <c r="BU79" s="9">
        <v>0</v>
      </c>
      <c r="BV79" s="9">
        <v>0</v>
      </c>
      <c r="BW79" s="9">
        <v>0</v>
      </c>
      <c r="BX79" s="9">
        <v>2</v>
      </c>
      <c r="BY79" s="9">
        <v>1</v>
      </c>
      <c r="BZ79" s="9">
        <v>7</v>
      </c>
      <c r="CA79" s="9">
        <v>7</v>
      </c>
      <c r="CB79" s="9">
        <v>43</v>
      </c>
      <c r="CC79" s="9">
        <v>61</v>
      </c>
      <c r="CD79" s="9">
        <v>51</v>
      </c>
      <c r="CE79" s="9">
        <v>48</v>
      </c>
      <c r="CF79" s="9">
        <v>35</v>
      </c>
      <c r="CG79" s="9">
        <v>43</v>
      </c>
      <c r="CH79" s="9">
        <v>0.23636363599999999</v>
      </c>
      <c r="CI79" s="9">
        <v>20</v>
      </c>
      <c r="CJ79" s="9">
        <v>28</v>
      </c>
      <c r="CK79" s="9">
        <v>22</v>
      </c>
      <c r="CL79" s="9">
        <v>22</v>
      </c>
      <c r="CM79" s="9"/>
      <c r="CN79" s="9"/>
      <c r="CO79" s="9"/>
      <c r="CP79" s="9">
        <v>0</v>
      </c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</row>
    <row r="80" spans="1:113" ht="16" x14ac:dyDescent="0.2">
      <c r="A80" s="9" t="s">
        <v>119</v>
      </c>
      <c r="B80" s="9">
        <v>1</v>
      </c>
      <c r="C80" s="9" t="s">
        <v>92</v>
      </c>
      <c r="D80" s="9">
        <v>1</v>
      </c>
      <c r="E80" s="9">
        <v>6.4143823529999997</v>
      </c>
      <c r="F80" s="9">
        <v>0.53132544400000004</v>
      </c>
      <c r="G80" s="9">
        <v>31.790826089999999</v>
      </c>
      <c r="H80" s="9">
        <v>38.20520844</v>
      </c>
      <c r="I80" s="9">
        <v>2.627416244</v>
      </c>
      <c r="J80" s="9">
        <v>0.46202531600000002</v>
      </c>
      <c r="K80" s="9">
        <v>2.9411764999999999E-2</v>
      </c>
      <c r="L80" s="9">
        <v>1.2588235290000001</v>
      </c>
      <c r="M80" s="15">
        <v>1.4245000000000001E-2</v>
      </c>
      <c r="N80" s="9">
        <v>169.3803571</v>
      </c>
      <c r="O80" s="9">
        <v>1</v>
      </c>
      <c r="P80" s="9">
        <v>22</v>
      </c>
      <c r="Q80" s="9">
        <v>1</v>
      </c>
      <c r="R80" s="9" t="s">
        <v>93</v>
      </c>
      <c r="S80" s="9">
        <v>19.399999999999999</v>
      </c>
      <c r="T80" s="9">
        <v>56</v>
      </c>
      <c r="U80" s="9">
        <v>1</v>
      </c>
      <c r="V80" s="9">
        <v>1</v>
      </c>
      <c r="W80" s="9">
        <v>1</v>
      </c>
      <c r="X80" s="9">
        <v>21</v>
      </c>
      <c r="Y80" s="9">
        <v>14</v>
      </c>
      <c r="Z80" s="9">
        <v>22</v>
      </c>
      <c r="AA80" s="9">
        <v>15</v>
      </c>
      <c r="AB80" s="9">
        <v>20</v>
      </c>
      <c r="AC80" s="9">
        <v>92</v>
      </c>
      <c r="AD80" s="9">
        <v>20</v>
      </c>
      <c r="AE80" s="9">
        <v>19</v>
      </c>
      <c r="AF80" s="9">
        <v>18</v>
      </c>
      <c r="AG80" s="9">
        <v>13</v>
      </c>
      <c r="AH80" s="9">
        <v>13</v>
      </c>
      <c r="AI80" s="9">
        <f t="shared" si="0"/>
        <v>83</v>
      </c>
      <c r="AJ80" s="9">
        <v>23</v>
      </c>
      <c r="AK80" s="9">
        <v>4</v>
      </c>
      <c r="AL80" s="9">
        <v>47.5</v>
      </c>
      <c r="AM80" s="9">
        <v>58.1</v>
      </c>
      <c r="AN80" s="9">
        <v>64.3</v>
      </c>
      <c r="AO80" s="9">
        <v>52.3</v>
      </c>
      <c r="AP80" s="9">
        <v>59.3</v>
      </c>
      <c r="AQ80" s="9">
        <v>61</v>
      </c>
      <c r="AR80" s="9">
        <v>52.3</v>
      </c>
      <c r="AS80" s="9">
        <v>52.9</v>
      </c>
      <c r="AT80" s="9">
        <v>34.9</v>
      </c>
      <c r="AU80" s="9">
        <v>33.799999999999997</v>
      </c>
      <c r="AV80" s="9">
        <v>10</v>
      </c>
      <c r="AW80" s="9">
        <v>6</v>
      </c>
      <c r="AX80" s="9">
        <v>9</v>
      </c>
      <c r="AY80" s="9">
        <v>15</v>
      </c>
      <c r="AZ80" s="9">
        <v>25</v>
      </c>
      <c r="BA80" s="9">
        <v>0</v>
      </c>
      <c r="BB80" s="9">
        <v>62</v>
      </c>
      <c r="BC80" s="9">
        <v>25</v>
      </c>
      <c r="BD80" s="9">
        <v>12.5</v>
      </c>
      <c r="BE80" s="9">
        <v>25</v>
      </c>
      <c r="BF80" s="9">
        <v>66.67</v>
      </c>
      <c r="BG80" s="9">
        <v>55</v>
      </c>
      <c r="BH80" s="9">
        <v>38.311100000000003</v>
      </c>
      <c r="BI80" s="9">
        <v>25.898900000000001</v>
      </c>
      <c r="BJ80" s="9">
        <v>2.2999999999999998</v>
      </c>
      <c r="BK80" s="9">
        <v>1</v>
      </c>
      <c r="BL80" s="9">
        <v>1</v>
      </c>
      <c r="BM80" s="9">
        <v>1</v>
      </c>
      <c r="BN80" s="9">
        <v>1</v>
      </c>
      <c r="BO80" s="9">
        <v>2</v>
      </c>
      <c r="BP80" s="9">
        <v>0</v>
      </c>
      <c r="BQ80" s="9">
        <v>1</v>
      </c>
      <c r="BR80" s="9">
        <v>0</v>
      </c>
      <c r="BS80" s="9">
        <v>0</v>
      </c>
      <c r="BT80" s="9">
        <v>1</v>
      </c>
      <c r="BU80" s="9">
        <v>1</v>
      </c>
      <c r="BV80" s="9">
        <v>1</v>
      </c>
      <c r="BW80" s="9">
        <v>1</v>
      </c>
      <c r="BX80" s="9">
        <v>2</v>
      </c>
      <c r="BY80" s="9">
        <v>1</v>
      </c>
      <c r="BZ80" s="9">
        <v>14</v>
      </c>
      <c r="CA80" s="9">
        <v>10</v>
      </c>
      <c r="CB80" s="9">
        <v>47</v>
      </c>
      <c r="CC80" s="9">
        <v>58</v>
      </c>
      <c r="CD80" s="9">
        <v>46</v>
      </c>
      <c r="CE80" s="9">
        <v>48</v>
      </c>
      <c r="CF80" s="9">
        <v>48</v>
      </c>
      <c r="CG80" s="9">
        <v>47</v>
      </c>
      <c r="CH80" s="9">
        <v>0.52500000000000002</v>
      </c>
      <c r="CI80" s="9">
        <v>18</v>
      </c>
      <c r="CJ80" s="9">
        <v>22</v>
      </c>
      <c r="CK80" s="9">
        <v>20</v>
      </c>
      <c r="CL80" s="9">
        <v>19</v>
      </c>
      <c r="CM80" s="9">
        <v>6.29</v>
      </c>
      <c r="CN80" s="9">
        <v>5.04</v>
      </c>
      <c r="CO80" s="9">
        <v>0</v>
      </c>
      <c r="CP80" s="9">
        <v>0</v>
      </c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</row>
    <row r="81" spans="1:113" ht="16" x14ac:dyDescent="0.2">
      <c r="A81" s="9" t="s">
        <v>130</v>
      </c>
      <c r="B81" s="9">
        <v>1</v>
      </c>
      <c r="C81" s="9" t="s">
        <v>92</v>
      </c>
      <c r="D81" s="9">
        <v>1</v>
      </c>
      <c r="E81" s="9">
        <v>6.947058824</v>
      </c>
      <c r="F81" s="9">
        <v>0.73372781099999995</v>
      </c>
      <c r="G81" s="9">
        <v>38.405657609999999</v>
      </c>
      <c r="H81" s="9">
        <v>45.352716430000001</v>
      </c>
      <c r="I81" s="9">
        <v>3.9543147209999998</v>
      </c>
      <c r="J81" s="9">
        <v>0.78481012699999997</v>
      </c>
      <c r="K81" s="9">
        <v>3.5294117999999999E-2</v>
      </c>
      <c r="L81" s="9">
        <v>1.364705882</v>
      </c>
      <c r="M81" s="9">
        <v>5.4945055E-2</v>
      </c>
      <c r="N81" s="9">
        <v>74.583126370000002</v>
      </c>
      <c r="O81" s="9">
        <v>1</v>
      </c>
      <c r="P81" s="9">
        <v>29</v>
      </c>
      <c r="Q81" s="9">
        <v>0</v>
      </c>
      <c r="R81" s="9" t="s">
        <v>93</v>
      </c>
      <c r="S81" s="9">
        <v>24.6</v>
      </c>
      <c r="T81" s="9">
        <v>13</v>
      </c>
      <c r="U81" s="9">
        <v>1</v>
      </c>
      <c r="V81" s="9">
        <v>1</v>
      </c>
      <c r="W81" s="9">
        <v>1</v>
      </c>
      <c r="X81" s="9">
        <v>15</v>
      </c>
      <c r="Y81" s="9">
        <v>8</v>
      </c>
      <c r="Z81" s="9">
        <v>12</v>
      </c>
      <c r="AA81" s="9">
        <v>12</v>
      </c>
      <c r="AB81" s="9">
        <v>20</v>
      </c>
      <c r="AC81" s="9">
        <v>67</v>
      </c>
      <c r="AD81" s="9">
        <v>20</v>
      </c>
      <c r="AE81" s="9">
        <v>20</v>
      </c>
      <c r="AF81" s="9">
        <v>20</v>
      </c>
      <c r="AG81" s="9">
        <v>9</v>
      </c>
      <c r="AH81" s="9">
        <v>20</v>
      </c>
      <c r="AI81" s="9">
        <f t="shared" si="0"/>
        <v>89</v>
      </c>
      <c r="AJ81" s="9">
        <v>44</v>
      </c>
      <c r="AK81" s="9">
        <v>8</v>
      </c>
      <c r="AL81" s="9">
        <v>61.9</v>
      </c>
      <c r="AM81" s="9">
        <v>62.1</v>
      </c>
      <c r="AN81" s="9">
        <v>74.2</v>
      </c>
      <c r="AO81" s="9">
        <v>55.4</v>
      </c>
      <c r="AP81" s="9">
        <v>54</v>
      </c>
      <c r="AQ81" s="9">
        <v>61</v>
      </c>
      <c r="AR81" s="9">
        <v>59.9</v>
      </c>
      <c r="AS81" s="9">
        <v>51.3</v>
      </c>
      <c r="AT81" s="9">
        <v>23.5</v>
      </c>
      <c r="AU81" s="9">
        <v>43.5</v>
      </c>
      <c r="AV81" s="9">
        <v>42</v>
      </c>
      <c r="AW81" s="9">
        <v>6</v>
      </c>
      <c r="AX81" s="9">
        <v>11</v>
      </c>
      <c r="AY81" s="9">
        <v>17</v>
      </c>
      <c r="AZ81" s="9">
        <v>5</v>
      </c>
      <c r="BA81" s="9">
        <v>6.25</v>
      </c>
      <c r="BB81" s="9">
        <v>12</v>
      </c>
      <c r="BC81" s="9">
        <v>30</v>
      </c>
      <c r="BD81" s="9">
        <v>12.5</v>
      </c>
      <c r="BE81" s="9">
        <v>0</v>
      </c>
      <c r="BF81" s="9">
        <v>100</v>
      </c>
      <c r="BG81" s="9">
        <v>75</v>
      </c>
      <c r="BH81" s="9">
        <v>50.954999999999998</v>
      </c>
      <c r="BI81" s="9">
        <v>11.966200000000001</v>
      </c>
      <c r="BJ81" s="9">
        <v>2.8</v>
      </c>
      <c r="BK81" s="9">
        <v>2</v>
      </c>
      <c r="BL81" s="9">
        <v>2</v>
      </c>
      <c r="BM81" s="9">
        <v>1</v>
      </c>
      <c r="BN81" s="9">
        <v>0</v>
      </c>
      <c r="BO81" s="9">
        <v>2</v>
      </c>
      <c r="BP81" s="9">
        <v>0</v>
      </c>
      <c r="BQ81" s="9">
        <v>1</v>
      </c>
      <c r="BR81" s="9">
        <v>0</v>
      </c>
      <c r="BS81" s="9">
        <v>2</v>
      </c>
      <c r="BT81" s="9">
        <v>0</v>
      </c>
      <c r="BU81" s="9">
        <v>0</v>
      </c>
      <c r="BV81" s="9">
        <v>0</v>
      </c>
      <c r="BW81" s="9">
        <v>2</v>
      </c>
      <c r="BX81" s="9">
        <v>2</v>
      </c>
      <c r="BY81" s="9">
        <v>1</v>
      </c>
      <c r="BZ81" s="9">
        <v>15</v>
      </c>
      <c r="CA81" s="9">
        <v>12</v>
      </c>
      <c r="CB81" s="9">
        <v>45</v>
      </c>
      <c r="CC81" s="9">
        <v>41</v>
      </c>
      <c r="CD81" s="9">
        <v>39</v>
      </c>
      <c r="CE81" s="9">
        <v>41</v>
      </c>
      <c r="CF81" s="9">
        <v>39</v>
      </c>
      <c r="CG81" s="9">
        <v>45</v>
      </c>
      <c r="CH81" s="9">
        <v>0.35555555599999999</v>
      </c>
      <c r="CI81" s="9">
        <v>46</v>
      </c>
      <c r="CJ81" s="9">
        <v>39</v>
      </c>
      <c r="CK81" s="9">
        <v>40</v>
      </c>
      <c r="CL81" s="9">
        <v>38</v>
      </c>
      <c r="CM81" s="9">
        <v>7.62</v>
      </c>
      <c r="CN81" s="9">
        <v>8.33</v>
      </c>
      <c r="CO81" s="9">
        <v>0</v>
      </c>
      <c r="CP81" s="9">
        <v>1</v>
      </c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</row>
    <row r="82" spans="1:113" ht="16" x14ac:dyDescent="0.2">
      <c r="A82" s="9" t="s">
        <v>126</v>
      </c>
      <c r="B82" s="9">
        <v>1</v>
      </c>
      <c r="C82" s="9" t="s">
        <v>92</v>
      </c>
      <c r="D82" s="9">
        <v>1</v>
      </c>
      <c r="E82" s="9">
        <v>9.8252764710000005</v>
      </c>
      <c r="F82" s="9">
        <v>0.359988166</v>
      </c>
      <c r="G82" s="9">
        <v>44.798706520000003</v>
      </c>
      <c r="H82" s="9">
        <v>54.623982990000002</v>
      </c>
      <c r="I82" s="9">
        <v>3.61348731</v>
      </c>
      <c r="J82" s="9">
        <v>0.68113291099999995</v>
      </c>
      <c r="K82" s="9">
        <v>3.5499999999999997E-2</v>
      </c>
      <c r="L82" s="9">
        <v>1.801558824</v>
      </c>
      <c r="M82" s="9">
        <v>6.6974358999999997E-2</v>
      </c>
      <c r="N82" s="9">
        <v>224.71460440000001</v>
      </c>
      <c r="O82" s="9">
        <v>1</v>
      </c>
      <c r="P82" s="9">
        <v>26</v>
      </c>
      <c r="Q82" s="9">
        <v>1</v>
      </c>
      <c r="R82" s="9" t="s">
        <v>93</v>
      </c>
      <c r="S82" s="9">
        <v>19.600000000000001</v>
      </c>
      <c r="T82" s="9">
        <v>46</v>
      </c>
      <c r="U82" s="9">
        <v>1</v>
      </c>
      <c r="V82" s="9">
        <v>1</v>
      </c>
      <c r="W82" s="9">
        <v>1</v>
      </c>
      <c r="X82" s="9">
        <v>19</v>
      </c>
      <c r="Y82" s="9">
        <v>14</v>
      </c>
      <c r="Z82" s="9">
        <v>23</v>
      </c>
      <c r="AA82" s="9">
        <v>15</v>
      </c>
      <c r="AB82" s="9">
        <v>21</v>
      </c>
      <c r="AC82" s="9">
        <v>92</v>
      </c>
      <c r="AD82" s="9">
        <v>19</v>
      </c>
      <c r="AE82" s="9">
        <v>19</v>
      </c>
      <c r="AF82" s="9">
        <v>14</v>
      </c>
      <c r="AG82" s="9">
        <v>5</v>
      </c>
      <c r="AH82" s="9">
        <v>11</v>
      </c>
      <c r="AI82" s="9">
        <f t="shared" si="0"/>
        <v>68</v>
      </c>
      <c r="AJ82" s="9">
        <v>39</v>
      </c>
      <c r="AK82" s="9">
        <v>5</v>
      </c>
      <c r="AL82" s="9">
        <v>68.400000000000006</v>
      </c>
      <c r="AM82" s="9">
        <v>65.5</v>
      </c>
      <c r="AN82" s="9">
        <v>65.3</v>
      </c>
      <c r="AO82" s="9">
        <v>60.6</v>
      </c>
      <c r="AP82" s="9">
        <v>54</v>
      </c>
      <c r="AQ82" s="9">
        <v>56.2</v>
      </c>
      <c r="AR82" s="9">
        <v>52.7</v>
      </c>
      <c r="AS82" s="9">
        <v>46.1</v>
      </c>
      <c r="AT82" s="9">
        <v>32.4</v>
      </c>
      <c r="AU82" s="9">
        <v>41.1</v>
      </c>
      <c r="AV82" s="9">
        <v>42</v>
      </c>
      <c r="AW82" s="9">
        <v>10</v>
      </c>
      <c r="AX82" s="9">
        <v>7</v>
      </c>
      <c r="AY82" s="9">
        <v>17</v>
      </c>
      <c r="AZ82" s="9">
        <v>15</v>
      </c>
      <c r="BA82" s="9">
        <v>12.5</v>
      </c>
      <c r="BB82" s="9">
        <v>31</v>
      </c>
      <c r="BC82" s="9">
        <v>10</v>
      </c>
      <c r="BD82" s="9">
        <v>31.25</v>
      </c>
      <c r="BE82" s="9">
        <v>50</v>
      </c>
      <c r="BF82" s="9">
        <v>100</v>
      </c>
      <c r="BG82" s="9">
        <v>90</v>
      </c>
      <c r="BH82" s="9">
        <v>61.029299999999999</v>
      </c>
      <c r="BI82" s="9">
        <v>12.970499999999999</v>
      </c>
      <c r="BJ82" s="9">
        <v>1.3</v>
      </c>
      <c r="BK82" s="9">
        <v>1</v>
      </c>
      <c r="BL82" s="9">
        <v>2</v>
      </c>
      <c r="BM82" s="9">
        <v>1</v>
      </c>
      <c r="BN82" s="9">
        <v>1</v>
      </c>
      <c r="BO82" s="9">
        <v>2</v>
      </c>
      <c r="BP82" s="9">
        <v>1</v>
      </c>
      <c r="BQ82" s="9">
        <v>2</v>
      </c>
      <c r="BR82" s="9">
        <v>0</v>
      </c>
      <c r="BS82" s="9">
        <v>2</v>
      </c>
      <c r="BT82" s="9">
        <v>1</v>
      </c>
      <c r="BU82" s="9">
        <v>2</v>
      </c>
      <c r="BV82" s="9">
        <v>2</v>
      </c>
      <c r="BW82" s="9">
        <v>2</v>
      </c>
      <c r="BX82" s="9">
        <v>2</v>
      </c>
      <c r="BY82" s="9">
        <v>1</v>
      </c>
      <c r="BZ82" s="9">
        <v>22</v>
      </c>
      <c r="CA82" s="9">
        <v>6</v>
      </c>
      <c r="CB82" s="9">
        <v>61</v>
      </c>
      <c r="CC82" s="9">
        <v>48</v>
      </c>
      <c r="CD82" s="9">
        <v>49</v>
      </c>
      <c r="CE82" s="9">
        <v>43</v>
      </c>
      <c r="CF82" s="9">
        <v>61</v>
      </c>
      <c r="CG82" s="9">
        <v>61</v>
      </c>
      <c r="CH82" s="9">
        <v>0.24</v>
      </c>
      <c r="CI82" s="9">
        <v>20</v>
      </c>
      <c r="CJ82" s="9">
        <v>24</v>
      </c>
      <c r="CK82" s="9">
        <v>18</v>
      </c>
      <c r="CL82" s="9">
        <v>20</v>
      </c>
      <c r="CM82" s="9">
        <v>5.71</v>
      </c>
      <c r="CN82" s="9">
        <v>5.78</v>
      </c>
      <c r="CO82" s="9"/>
      <c r="CP82" s="9">
        <v>1</v>
      </c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</row>
    <row r="83" spans="1:113" ht="16" x14ac:dyDescent="0.2">
      <c r="A83" s="9" t="s">
        <v>122</v>
      </c>
      <c r="B83" s="9">
        <v>1</v>
      </c>
      <c r="C83" s="9" t="s">
        <v>92</v>
      </c>
      <c r="D83" s="9">
        <v>1</v>
      </c>
      <c r="E83" s="9">
        <v>5.8352941180000002</v>
      </c>
      <c r="F83" s="9">
        <v>0.36686390499999999</v>
      </c>
      <c r="G83" s="9" t="s">
        <v>100</v>
      </c>
      <c r="H83" s="9" t="s">
        <v>100</v>
      </c>
      <c r="I83" s="9">
        <v>2.8071065989999999</v>
      </c>
      <c r="J83" s="9">
        <v>0.87025316500000005</v>
      </c>
      <c r="K83" s="9">
        <v>4.1176470999999999E-2</v>
      </c>
      <c r="L83" s="9">
        <v>1.158823529</v>
      </c>
      <c r="M83" s="9">
        <v>8.4249084000000002E-2</v>
      </c>
      <c r="N83" s="9" t="s">
        <v>100</v>
      </c>
      <c r="O83" s="9">
        <v>1</v>
      </c>
      <c r="P83" s="9">
        <v>59</v>
      </c>
      <c r="Q83" s="9">
        <v>0</v>
      </c>
      <c r="R83" s="9" t="s">
        <v>93</v>
      </c>
      <c r="S83" s="9">
        <v>24.9</v>
      </c>
      <c r="T83" s="9">
        <v>20</v>
      </c>
      <c r="U83" s="9">
        <v>1</v>
      </c>
      <c r="V83" s="9">
        <v>0</v>
      </c>
      <c r="W83" s="9">
        <v>1</v>
      </c>
      <c r="X83" s="9">
        <v>18</v>
      </c>
      <c r="Y83" s="9">
        <v>8</v>
      </c>
      <c r="Z83" s="9">
        <v>20</v>
      </c>
      <c r="AA83" s="9">
        <v>14</v>
      </c>
      <c r="AB83" s="9">
        <v>15</v>
      </c>
      <c r="AC83" s="9">
        <v>75</v>
      </c>
      <c r="AD83" s="9">
        <v>17</v>
      </c>
      <c r="AE83" s="9">
        <v>17</v>
      </c>
      <c r="AF83" s="9">
        <v>17</v>
      </c>
      <c r="AG83" s="9">
        <v>6</v>
      </c>
      <c r="AH83" s="9">
        <v>10</v>
      </c>
      <c r="AI83" s="9">
        <f t="shared" si="0"/>
        <v>67</v>
      </c>
      <c r="AJ83" s="9">
        <v>13</v>
      </c>
      <c r="AK83" s="9">
        <v>1</v>
      </c>
      <c r="AL83" s="9">
        <v>47.5</v>
      </c>
      <c r="AM83" s="9">
        <v>40.700000000000003</v>
      </c>
      <c r="AN83" s="9">
        <v>62.3</v>
      </c>
      <c r="AO83" s="9">
        <v>53.4</v>
      </c>
      <c r="AP83" s="9">
        <v>51.6</v>
      </c>
      <c r="AQ83" s="9">
        <v>46.7</v>
      </c>
      <c r="AR83" s="9">
        <v>44.1</v>
      </c>
      <c r="AS83" s="9">
        <v>45.7</v>
      </c>
      <c r="AT83" s="9">
        <v>37.4</v>
      </c>
      <c r="AU83" s="9">
        <v>43.5</v>
      </c>
      <c r="AV83" s="9">
        <v>0</v>
      </c>
      <c r="AW83" s="9">
        <v>7</v>
      </c>
      <c r="AX83" s="9">
        <v>3</v>
      </c>
      <c r="AY83" s="9">
        <v>10</v>
      </c>
      <c r="AZ83" s="9">
        <v>20</v>
      </c>
      <c r="BA83" s="9">
        <v>12.5</v>
      </c>
      <c r="BB83" s="9">
        <v>72</v>
      </c>
      <c r="BC83" s="9">
        <v>67</v>
      </c>
      <c r="BD83" s="9">
        <v>31.25</v>
      </c>
      <c r="BE83" s="9">
        <v>25</v>
      </c>
      <c r="BF83" s="9">
        <v>100</v>
      </c>
      <c r="BG83" s="9">
        <v>75</v>
      </c>
      <c r="BH83" s="9">
        <v>51.547899999999998</v>
      </c>
      <c r="BI83" s="9">
        <v>27.857399999999998</v>
      </c>
      <c r="BJ83" s="9">
        <v>1.4</v>
      </c>
      <c r="BK83" s="9">
        <v>0</v>
      </c>
      <c r="BL83" s="9">
        <v>1</v>
      </c>
      <c r="BM83" s="9">
        <v>1</v>
      </c>
      <c r="BN83" s="9">
        <v>0</v>
      </c>
      <c r="BO83" s="9">
        <v>0</v>
      </c>
      <c r="BP83" s="9">
        <v>1</v>
      </c>
      <c r="BQ83" s="9">
        <v>0</v>
      </c>
      <c r="BR83" s="9">
        <v>0</v>
      </c>
      <c r="BS83" s="9">
        <v>0</v>
      </c>
      <c r="BT83" s="9">
        <v>0</v>
      </c>
      <c r="BU83" s="9">
        <v>1</v>
      </c>
      <c r="BV83" s="9">
        <v>1</v>
      </c>
      <c r="BW83" s="9">
        <v>0</v>
      </c>
      <c r="BX83" s="9">
        <v>2</v>
      </c>
      <c r="BY83" s="9">
        <v>0</v>
      </c>
      <c r="BZ83" s="9">
        <v>7</v>
      </c>
      <c r="CA83" s="9">
        <v>5</v>
      </c>
      <c r="CB83" s="9">
        <v>53</v>
      </c>
      <c r="CC83" s="9">
        <v>55</v>
      </c>
      <c r="CD83" s="9">
        <v>58</v>
      </c>
      <c r="CE83" s="9">
        <v>68</v>
      </c>
      <c r="CF83" s="9">
        <v>64</v>
      </c>
      <c r="CG83" s="9">
        <v>53</v>
      </c>
      <c r="CH83" s="9">
        <v>0.26530612199999998</v>
      </c>
      <c r="CI83" s="9">
        <v>48</v>
      </c>
      <c r="CJ83" s="9">
        <v>49.5</v>
      </c>
      <c r="CK83" s="9">
        <v>36</v>
      </c>
      <c r="CL83" s="9">
        <v>40</v>
      </c>
      <c r="CM83" s="9">
        <v>8.5</v>
      </c>
      <c r="CN83" s="9">
        <v>21.28</v>
      </c>
      <c r="CO83" s="9"/>
      <c r="CP83" s="9">
        <v>0</v>
      </c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</row>
    <row r="84" spans="1:113" ht="16" x14ac:dyDescent="0.2">
      <c r="A84" s="9" t="s">
        <v>129</v>
      </c>
      <c r="B84" s="9">
        <v>1</v>
      </c>
      <c r="C84" s="9" t="s">
        <v>92</v>
      </c>
      <c r="D84" s="9">
        <v>1</v>
      </c>
      <c r="E84" s="9">
        <v>6.3495647059999998</v>
      </c>
      <c r="F84" s="9">
        <v>0.60972189300000001</v>
      </c>
      <c r="G84" s="9">
        <v>37.151739130000003</v>
      </c>
      <c r="H84" s="9">
        <v>43.501303839999999</v>
      </c>
      <c r="I84" s="9">
        <v>4.4016192890000001</v>
      </c>
      <c r="J84" s="9">
        <v>0.48732278499999998</v>
      </c>
      <c r="K84" s="9">
        <v>4.2288235E-2</v>
      </c>
      <c r="L84" s="9">
        <v>1.011658824</v>
      </c>
      <c r="M84" s="9">
        <v>4.3344321999999998E-2</v>
      </c>
      <c r="N84" s="9">
        <v>143.3286099</v>
      </c>
      <c r="O84" s="9">
        <v>1</v>
      </c>
      <c r="P84" s="9">
        <v>19</v>
      </c>
      <c r="Q84" s="9">
        <v>1</v>
      </c>
      <c r="R84" s="9" t="s">
        <v>93</v>
      </c>
      <c r="S84" s="9">
        <v>22.1</v>
      </c>
      <c r="T84" s="9">
        <v>23</v>
      </c>
      <c r="U84" s="9">
        <v>1</v>
      </c>
      <c r="V84" s="9">
        <v>1</v>
      </c>
      <c r="W84" s="9">
        <v>1</v>
      </c>
      <c r="X84" s="9">
        <v>13</v>
      </c>
      <c r="Y84" s="9">
        <v>10</v>
      </c>
      <c r="Z84" s="9">
        <v>22</v>
      </c>
      <c r="AA84" s="9">
        <v>13</v>
      </c>
      <c r="AB84" s="9">
        <v>19</v>
      </c>
      <c r="AC84" s="9">
        <v>77</v>
      </c>
      <c r="AD84" s="9">
        <v>20</v>
      </c>
      <c r="AE84" s="9">
        <v>20</v>
      </c>
      <c r="AF84" s="9">
        <v>20</v>
      </c>
      <c r="AG84" s="9">
        <v>18</v>
      </c>
      <c r="AH84" s="9">
        <v>8</v>
      </c>
      <c r="AI84" s="9">
        <f t="shared" si="0"/>
        <v>86</v>
      </c>
      <c r="AJ84" s="9">
        <v>52</v>
      </c>
      <c r="AK84" s="9">
        <v>10</v>
      </c>
      <c r="AL84" s="9">
        <v>81.8</v>
      </c>
      <c r="AM84" s="9">
        <v>68.400000000000006</v>
      </c>
      <c r="AN84" s="9">
        <v>68.599999999999994</v>
      </c>
      <c r="AO84" s="9">
        <v>63</v>
      </c>
      <c r="AP84" s="9">
        <v>71.900000000000006</v>
      </c>
      <c r="AQ84" s="9">
        <v>68.7</v>
      </c>
      <c r="AR84" s="9">
        <v>44.3</v>
      </c>
      <c r="AS84" s="9">
        <v>37.6</v>
      </c>
      <c r="AT84" s="9">
        <v>19.899999999999999</v>
      </c>
      <c r="AU84" s="9">
        <v>50.8</v>
      </c>
      <c r="AV84" s="9">
        <v>31</v>
      </c>
      <c r="AW84" s="9">
        <v>3</v>
      </c>
      <c r="AX84" s="9">
        <v>9</v>
      </c>
      <c r="AY84" s="9">
        <v>12</v>
      </c>
      <c r="AZ84" s="9">
        <v>25</v>
      </c>
      <c r="BA84" s="9">
        <v>18.75</v>
      </c>
      <c r="BB84" s="9">
        <v>0</v>
      </c>
      <c r="BC84" s="9">
        <v>5</v>
      </c>
      <c r="BD84" s="9">
        <v>31.25</v>
      </c>
      <c r="BE84" s="9">
        <v>0</v>
      </c>
      <c r="BF84" s="9">
        <v>100</v>
      </c>
      <c r="BG84" s="9">
        <v>90</v>
      </c>
      <c r="BH84" s="9">
        <v>55.305999999999997</v>
      </c>
      <c r="BI84" s="9">
        <v>11.0199</v>
      </c>
      <c r="BJ84" s="9">
        <v>1.8</v>
      </c>
      <c r="BK84" s="9">
        <v>0</v>
      </c>
      <c r="BL84" s="9">
        <v>2</v>
      </c>
      <c r="BM84" s="9">
        <v>1</v>
      </c>
      <c r="BN84" s="9">
        <v>0</v>
      </c>
      <c r="BO84" s="9">
        <v>1</v>
      </c>
      <c r="BP84" s="9">
        <v>1</v>
      </c>
      <c r="BQ84" s="9">
        <v>0</v>
      </c>
      <c r="BR84" s="9">
        <v>1</v>
      </c>
      <c r="BS84" s="9">
        <v>0</v>
      </c>
      <c r="BT84" s="9">
        <v>1</v>
      </c>
      <c r="BU84" s="9">
        <v>0</v>
      </c>
      <c r="BV84" s="9">
        <v>1</v>
      </c>
      <c r="BW84" s="9">
        <v>2</v>
      </c>
      <c r="BX84" s="9">
        <v>2</v>
      </c>
      <c r="BY84" s="9">
        <v>2</v>
      </c>
      <c r="BZ84" s="9">
        <v>14</v>
      </c>
      <c r="CA84" s="9">
        <v>14</v>
      </c>
      <c r="CB84" s="9"/>
      <c r="CC84" s="9"/>
      <c r="CD84" s="9"/>
      <c r="CE84" s="9"/>
      <c r="CF84" s="9"/>
      <c r="CG84" s="9"/>
      <c r="CH84" s="9">
        <v>0.31914893599999999</v>
      </c>
      <c r="CI84" s="9">
        <v>28</v>
      </c>
      <c r="CJ84" s="9">
        <v>28</v>
      </c>
      <c r="CK84" s="9">
        <v>30</v>
      </c>
      <c r="CL84" s="9">
        <v>26</v>
      </c>
      <c r="CM84" s="9">
        <v>10.119999999999999</v>
      </c>
      <c r="CN84" s="9">
        <v>4.4000000000000004</v>
      </c>
      <c r="CO84" s="9"/>
      <c r="CP84" s="9">
        <v>0</v>
      </c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</row>
    <row r="85" spans="1:113" ht="16" x14ac:dyDescent="0.2">
      <c r="A85" s="9" t="s">
        <v>127</v>
      </c>
      <c r="B85" s="9">
        <v>1</v>
      </c>
      <c r="C85" s="9" t="s">
        <v>92</v>
      </c>
      <c r="D85" s="9">
        <v>1</v>
      </c>
      <c r="E85" s="9">
        <v>11.260176469999999</v>
      </c>
      <c r="F85" s="9">
        <v>0.77485798800000005</v>
      </c>
      <c r="G85" s="9">
        <v>42.106782610000003</v>
      </c>
      <c r="H85" s="9">
        <v>53.366959080000001</v>
      </c>
      <c r="I85" s="9">
        <v>2.9148680200000001</v>
      </c>
      <c r="J85" s="9">
        <v>0.97808860799999997</v>
      </c>
      <c r="K85" s="9">
        <v>4.2488234999999999E-2</v>
      </c>
      <c r="L85" s="9">
        <v>1.1651823530000001</v>
      </c>
      <c r="M85" s="9">
        <v>0.11458241800000001</v>
      </c>
      <c r="N85" s="9">
        <v>138.7683681</v>
      </c>
      <c r="O85" s="9">
        <v>1</v>
      </c>
      <c r="P85" s="9">
        <v>43</v>
      </c>
      <c r="Q85" s="9">
        <v>0</v>
      </c>
      <c r="R85" s="9" t="s">
        <v>93</v>
      </c>
      <c r="S85" s="9">
        <v>30.5</v>
      </c>
      <c r="T85" s="9">
        <v>23</v>
      </c>
      <c r="U85" s="9">
        <v>1</v>
      </c>
      <c r="V85" s="9">
        <v>0</v>
      </c>
      <c r="W85" s="9">
        <v>1</v>
      </c>
      <c r="X85" s="9">
        <v>29</v>
      </c>
      <c r="Y85" s="9">
        <v>18</v>
      </c>
      <c r="Z85" s="9">
        <v>34</v>
      </c>
      <c r="AA85" s="9">
        <v>27</v>
      </c>
      <c r="AB85" s="9">
        <v>31</v>
      </c>
      <c r="AC85" s="9">
        <v>139</v>
      </c>
      <c r="AD85" s="9">
        <v>17</v>
      </c>
      <c r="AE85" s="9">
        <v>17</v>
      </c>
      <c r="AF85" s="9">
        <v>16</v>
      </c>
      <c r="AG85" s="9">
        <v>9</v>
      </c>
      <c r="AH85" s="9">
        <v>17</v>
      </c>
      <c r="AI85" s="9">
        <f t="shared" si="0"/>
        <v>76</v>
      </c>
      <c r="AJ85" s="9">
        <v>56</v>
      </c>
      <c r="AK85" s="9">
        <v>9</v>
      </c>
      <c r="AL85" s="9">
        <v>61.9</v>
      </c>
      <c r="AM85" s="9">
        <v>64.099999999999994</v>
      </c>
      <c r="AN85" s="9">
        <v>63.3</v>
      </c>
      <c r="AO85" s="9">
        <v>55.4</v>
      </c>
      <c r="AP85" s="9">
        <v>60.3</v>
      </c>
      <c r="AQ85" s="9">
        <v>38.1</v>
      </c>
      <c r="AR85" s="9">
        <v>43.5</v>
      </c>
      <c r="AS85" s="9">
        <v>38</v>
      </c>
      <c r="AT85" s="9">
        <v>44.9</v>
      </c>
      <c r="AU85" s="9">
        <v>43.5</v>
      </c>
      <c r="AV85" s="9">
        <v>31</v>
      </c>
      <c r="AW85" s="9">
        <v>1</v>
      </c>
      <c r="AX85" s="9">
        <v>6</v>
      </c>
      <c r="AY85" s="9">
        <v>7</v>
      </c>
      <c r="AZ85" s="9">
        <v>40</v>
      </c>
      <c r="BA85" s="9">
        <v>6.25</v>
      </c>
      <c r="BB85" s="9">
        <v>41</v>
      </c>
      <c r="BC85" s="9">
        <v>35</v>
      </c>
      <c r="BD85" s="9">
        <v>25</v>
      </c>
      <c r="BE85" s="9">
        <v>12.5</v>
      </c>
      <c r="BF85" s="9">
        <v>100</v>
      </c>
      <c r="BG85" s="9">
        <v>80</v>
      </c>
      <c r="BH85" s="9">
        <v>50.648099999999999</v>
      </c>
      <c r="BI85" s="9">
        <v>21.982500000000002</v>
      </c>
      <c r="BJ85" s="9">
        <v>1.6</v>
      </c>
      <c r="BK85" s="9">
        <v>1</v>
      </c>
      <c r="BL85" s="9">
        <v>0</v>
      </c>
      <c r="BM85" s="9">
        <v>0</v>
      </c>
      <c r="BN85" s="9">
        <v>0</v>
      </c>
      <c r="BO85" s="9">
        <v>2</v>
      </c>
      <c r="BP85" s="9">
        <v>1</v>
      </c>
      <c r="BQ85" s="9">
        <v>2</v>
      </c>
      <c r="BR85" s="9">
        <v>0</v>
      </c>
      <c r="BS85" s="9">
        <v>0</v>
      </c>
      <c r="BT85" s="9">
        <v>2</v>
      </c>
      <c r="BU85" s="9">
        <v>0</v>
      </c>
      <c r="BV85" s="9">
        <v>1</v>
      </c>
      <c r="BW85" s="9">
        <v>2</v>
      </c>
      <c r="BX85" s="9">
        <v>2</v>
      </c>
      <c r="BY85" s="9">
        <v>1</v>
      </c>
      <c r="BZ85" s="9">
        <v>14</v>
      </c>
      <c r="CA85" s="9">
        <v>4</v>
      </c>
      <c r="CB85" s="9">
        <v>35</v>
      </c>
      <c r="CC85" s="9">
        <v>35</v>
      </c>
      <c r="CD85" s="9">
        <v>36</v>
      </c>
      <c r="CE85" s="9">
        <v>45</v>
      </c>
      <c r="CF85" s="9">
        <v>31</v>
      </c>
      <c r="CG85" s="9">
        <v>35</v>
      </c>
      <c r="CH85" s="9">
        <v>0.36170212800000001</v>
      </c>
      <c r="CI85" s="9">
        <v>58</v>
      </c>
      <c r="CJ85" s="9">
        <v>56</v>
      </c>
      <c r="CK85" s="9">
        <v>52</v>
      </c>
      <c r="CL85" s="9">
        <v>51</v>
      </c>
      <c r="CM85" s="9">
        <v>13.03</v>
      </c>
      <c r="CN85" s="9">
        <v>10.43</v>
      </c>
      <c r="CO85" s="9"/>
      <c r="CP85" s="9">
        <v>0</v>
      </c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</row>
    <row r="86" spans="1:113" ht="16" x14ac:dyDescent="0.2">
      <c r="A86" s="9" t="s">
        <v>114</v>
      </c>
      <c r="B86" s="9">
        <v>1</v>
      </c>
      <c r="C86" s="9" t="s">
        <v>92</v>
      </c>
      <c r="D86" s="9">
        <v>1</v>
      </c>
      <c r="E86" s="9">
        <v>9.4935500000000008</v>
      </c>
      <c r="F86" s="9">
        <v>0.82464999999999999</v>
      </c>
      <c r="G86" s="9">
        <v>36.439559780000003</v>
      </c>
      <c r="H86" s="9">
        <v>45.933112719999997</v>
      </c>
      <c r="I86" s="9">
        <v>3.4477512689999998</v>
      </c>
      <c r="J86" s="9">
        <v>0.83227848100000001</v>
      </c>
      <c r="K86" s="9">
        <v>5.8823528999999999E-2</v>
      </c>
      <c r="L86" s="9">
        <v>1.7176470589999999</v>
      </c>
      <c r="M86" s="15">
        <v>1.4245000000000001E-2</v>
      </c>
      <c r="N86" s="9">
        <v>168.1962418</v>
      </c>
      <c r="O86" s="9">
        <v>1</v>
      </c>
      <c r="P86" s="9">
        <v>22</v>
      </c>
      <c r="Q86" s="9">
        <v>1</v>
      </c>
      <c r="R86" s="9" t="s">
        <v>93</v>
      </c>
      <c r="S86" s="9">
        <v>19.399999999999999</v>
      </c>
      <c r="T86" s="9">
        <v>37</v>
      </c>
      <c r="U86" s="9">
        <v>0</v>
      </c>
      <c r="V86" s="9">
        <v>0</v>
      </c>
      <c r="W86" s="9">
        <v>1</v>
      </c>
      <c r="X86" s="9">
        <v>11</v>
      </c>
      <c r="Y86" s="9">
        <v>14</v>
      </c>
      <c r="Z86" s="9">
        <v>15</v>
      </c>
      <c r="AA86" s="9">
        <v>15</v>
      </c>
      <c r="AB86" s="9">
        <v>17</v>
      </c>
      <c r="AC86" s="9">
        <v>72</v>
      </c>
      <c r="AD86" s="9">
        <v>19</v>
      </c>
      <c r="AE86" s="9">
        <v>19</v>
      </c>
      <c r="AF86" s="9">
        <v>10</v>
      </c>
      <c r="AG86" s="9">
        <v>12</v>
      </c>
      <c r="AH86" s="9">
        <v>13</v>
      </c>
      <c r="AI86" s="9">
        <f t="shared" si="0"/>
        <v>73</v>
      </c>
      <c r="AJ86" s="9">
        <v>0</v>
      </c>
      <c r="AK86" s="9">
        <v>0</v>
      </c>
      <c r="AL86" s="9">
        <v>36.299999999999997</v>
      </c>
      <c r="AM86" s="9">
        <v>40.700000000000003</v>
      </c>
      <c r="AN86" s="9">
        <v>67.5</v>
      </c>
      <c r="AO86" s="9">
        <v>34.1</v>
      </c>
      <c r="AP86" s="9">
        <v>67.3</v>
      </c>
      <c r="AQ86" s="9">
        <v>46.7</v>
      </c>
      <c r="AR86" s="9">
        <v>50.7</v>
      </c>
      <c r="AS86" s="9">
        <v>50.1</v>
      </c>
      <c r="AT86" s="9">
        <v>39.799999999999997</v>
      </c>
      <c r="AU86" s="9">
        <v>45.8</v>
      </c>
      <c r="AV86" s="9">
        <v>0</v>
      </c>
      <c r="AW86" s="9">
        <v>0</v>
      </c>
      <c r="AX86" s="9">
        <v>8</v>
      </c>
      <c r="AY86" s="9">
        <v>8</v>
      </c>
      <c r="AZ86" s="9">
        <v>65</v>
      </c>
      <c r="BA86" s="9">
        <v>25</v>
      </c>
      <c r="BB86" s="9">
        <v>100</v>
      </c>
      <c r="BC86" s="9">
        <v>25</v>
      </c>
      <c r="BD86" s="9">
        <v>25</v>
      </c>
      <c r="BE86" s="9">
        <v>50</v>
      </c>
      <c r="BF86" s="9">
        <v>100</v>
      </c>
      <c r="BG86" s="9">
        <v>75</v>
      </c>
      <c r="BH86" s="9">
        <v>48.084499999999998</v>
      </c>
      <c r="BI86" s="9">
        <v>35.956400000000002</v>
      </c>
      <c r="BJ86" s="9">
        <v>2.5</v>
      </c>
      <c r="BK86" s="9">
        <v>0</v>
      </c>
      <c r="BL86" s="9">
        <v>0</v>
      </c>
      <c r="BM86" s="9">
        <v>0</v>
      </c>
      <c r="BN86" s="9">
        <v>1</v>
      </c>
      <c r="BO86" s="9">
        <v>0</v>
      </c>
      <c r="BP86" s="9">
        <v>0</v>
      </c>
      <c r="BQ86" s="9">
        <v>1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1</v>
      </c>
      <c r="BX86" s="9">
        <v>2</v>
      </c>
      <c r="BY86" s="9">
        <v>0</v>
      </c>
      <c r="BZ86" s="9">
        <v>5</v>
      </c>
      <c r="CA86" s="9">
        <v>2</v>
      </c>
      <c r="CB86" s="9">
        <v>63</v>
      </c>
      <c r="CC86" s="9">
        <v>46</v>
      </c>
      <c r="CD86" s="9">
        <v>71</v>
      </c>
      <c r="CE86" s="9">
        <v>57</v>
      </c>
      <c r="CF86" s="9">
        <v>55</v>
      </c>
      <c r="CG86" s="9">
        <v>63</v>
      </c>
      <c r="CH86" s="9"/>
      <c r="CI86" s="9">
        <v>24.5</v>
      </c>
      <c r="CJ86" s="9">
        <v>23</v>
      </c>
      <c r="CK86" s="9">
        <v>22</v>
      </c>
      <c r="CL86" s="9">
        <v>22</v>
      </c>
      <c r="CM86" s="9">
        <v>8.85</v>
      </c>
      <c r="CN86" s="9">
        <v>15.54</v>
      </c>
      <c r="CO86" s="9"/>
      <c r="CP86" s="9">
        <v>1</v>
      </c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</row>
    <row r="87" spans="1:113" ht="16" x14ac:dyDescent="0.2">
      <c r="A87" s="9" t="s">
        <v>125</v>
      </c>
      <c r="B87" s="9">
        <v>1</v>
      </c>
      <c r="C87" s="9" t="s">
        <v>92</v>
      </c>
      <c r="D87" s="9">
        <v>1</v>
      </c>
      <c r="E87" s="9">
        <v>9.8165058819999995</v>
      </c>
      <c r="F87" s="9">
        <v>1.073816568</v>
      </c>
      <c r="G87" s="9">
        <v>40.45082609</v>
      </c>
      <c r="H87" s="9">
        <v>50.267331970000001</v>
      </c>
      <c r="I87" s="9">
        <v>2.8954162440000002</v>
      </c>
      <c r="J87" s="9">
        <v>0.717484177</v>
      </c>
      <c r="K87" s="9">
        <v>7.6929412000000003E-2</v>
      </c>
      <c r="L87" s="9">
        <v>1.9429764709999999</v>
      </c>
      <c r="M87" s="9">
        <v>8.9472526999999996E-2</v>
      </c>
      <c r="N87" s="9">
        <v>297.08422530000001</v>
      </c>
      <c r="O87" s="9">
        <v>1</v>
      </c>
      <c r="P87" s="9">
        <v>36</v>
      </c>
      <c r="Q87" s="9">
        <v>0</v>
      </c>
      <c r="R87" s="9" t="s">
        <v>93</v>
      </c>
      <c r="S87" s="9">
        <v>31.8</v>
      </c>
      <c r="T87" s="9">
        <v>23</v>
      </c>
      <c r="U87" s="9">
        <v>1</v>
      </c>
      <c r="V87" s="9">
        <v>0</v>
      </c>
      <c r="W87" s="9">
        <v>1</v>
      </c>
      <c r="X87" s="9">
        <v>17</v>
      </c>
      <c r="Y87" s="9">
        <v>11</v>
      </c>
      <c r="Z87" s="9">
        <v>23</v>
      </c>
      <c r="AA87" s="9">
        <v>15</v>
      </c>
      <c r="AB87" s="9">
        <v>23</v>
      </c>
      <c r="AC87" s="9">
        <v>89</v>
      </c>
      <c r="AD87" s="9">
        <v>19</v>
      </c>
      <c r="AE87" s="9">
        <v>18</v>
      </c>
      <c r="AF87" s="9">
        <v>18</v>
      </c>
      <c r="AG87" s="9">
        <v>13</v>
      </c>
      <c r="AH87" s="9">
        <v>13</v>
      </c>
      <c r="AI87" s="9">
        <f t="shared" si="0"/>
        <v>81</v>
      </c>
      <c r="AJ87" s="9">
        <v>30</v>
      </c>
      <c r="AK87" s="9">
        <v>3</v>
      </c>
      <c r="AL87" s="9">
        <v>58.5</v>
      </c>
      <c r="AM87" s="9">
        <v>62.1</v>
      </c>
      <c r="AN87" s="9">
        <v>65.3</v>
      </c>
      <c r="AO87" s="9">
        <v>59</v>
      </c>
      <c r="AP87" s="9">
        <v>61.3</v>
      </c>
      <c r="AQ87" s="9">
        <v>47.9</v>
      </c>
      <c r="AR87" s="9">
        <v>52.8</v>
      </c>
      <c r="AS87" s="9">
        <v>55.3</v>
      </c>
      <c r="AT87" s="9">
        <v>39.799999999999997</v>
      </c>
      <c r="AU87" s="9">
        <v>43.5</v>
      </c>
      <c r="AV87" s="9">
        <v>11</v>
      </c>
      <c r="AW87" s="9">
        <v>3</v>
      </c>
      <c r="AX87" s="9">
        <v>7</v>
      </c>
      <c r="AY87" s="9">
        <v>10</v>
      </c>
      <c r="AZ87" s="9">
        <v>30</v>
      </c>
      <c r="BA87" s="9">
        <v>18.75</v>
      </c>
      <c r="BB87" s="9">
        <v>52</v>
      </c>
      <c r="BC87" s="9">
        <v>42</v>
      </c>
      <c r="BD87" s="9">
        <v>12.5</v>
      </c>
      <c r="BE87" s="9">
        <v>37.5</v>
      </c>
      <c r="BF87" s="9">
        <v>66.67</v>
      </c>
      <c r="BG87" s="9">
        <v>70</v>
      </c>
      <c r="BH87" s="9">
        <v>42.720799999999997</v>
      </c>
      <c r="BI87" s="9">
        <v>28.076000000000001</v>
      </c>
      <c r="BJ87" s="9">
        <v>2.2999999999999998</v>
      </c>
      <c r="BK87" s="9">
        <v>0</v>
      </c>
      <c r="BL87" s="9">
        <v>1</v>
      </c>
      <c r="BM87" s="9">
        <v>1</v>
      </c>
      <c r="BN87" s="9">
        <v>0</v>
      </c>
      <c r="BO87" s="9">
        <v>2</v>
      </c>
      <c r="BP87" s="9">
        <v>0</v>
      </c>
      <c r="BQ87" s="9">
        <v>0</v>
      </c>
      <c r="BR87" s="9">
        <v>0</v>
      </c>
      <c r="BS87" s="9">
        <v>0</v>
      </c>
      <c r="BT87" s="9">
        <v>1</v>
      </c>
      <c r="BU87" s="9">
        <v>0</v>
      </c>
      <c r="BV87" s="9">
        <v>1</v>
      </c>
      <c r="BW87" s="9">
        <v>0</v>
      </c>
      <c r="BX87" s="9">
        <v>2</v>
      </c>
      <c r="BY87" s="9">
        <v>1</v>
      </c>
      <c r="BZ87" s="9">
        <v>9</v>
      </c>
      <c r="CA87" s="9">
        <v>7</v>
      </c>
      <c r="CB87" s="9">
        <v>44</v>
      </c>
      <c r="CC87" s="9">
        <v>62</v>
      </c>
      <c r="CD87" s="9">
        <v>74</v>
      </c>
      <c r="CE87" s="9">
        <v>60</v>
      </c>
      <c r="CF87" s="9">
        <v>37</v>
      </c>
      <c r="CG87" s="9">
        <v>44</v>
      </c>
      <c r="CH87" s="9">
        <v>0.47826087</v>
      </c>
      <c r="CI87" s="9">
        <v>48</v>
      </c>
      <c r="CJ87" s="9">
        <v>59</v>
      </c>
      <c r="CK87" s="9">
        <v>46</v>
      </c>
      <c r="CL87" s="9">
        <v>47</v>
      </c>
      <c r="CM87" s="9">
        <v>26.39</v>
      </c>
      <c r="CN87" s="9">
        <v>20.36</v>
      </c>
      <c r="CO87" s="9"/>
      <c r="CP87" s="9">
        <v>1</v>
      </c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</row>
    <row r="88" spans="1:113" ht="16" x14ac:dyDescent="0.2">
      <c r="A88" s="9" t="s">
        <v>128</v>
      </c>
      <c r="B88" s="9">
        <v>1</v>
      </c>
      <c r="C88" s="9" t="s">
        <v>92</v>
      </c>
      <c r="D88" s="9">
        <v>1</v>
      </c>
      <c r="E88" s="9">
        <v>10.635294119999999</v>
      </c>
      <c r="F88" s="9">
        <v>0.53254437899999996</v>
      </c>
      <c r="G88" s="9">
        <v>45.255407609999999</v>
      </c>
      <c r="H88" s="9">
        <v>55.890701730000004</v>
      </c>
      <c r="I88" s="9">
        <v>3.3857868020000002</v>
      </c>
      <c r="J88" s="9">
        <v>0.93987341800000002</v>
      </c>
      <c r="K88" s="9">
        <v>8.8235294000000006E-2</v>
      </c>
      <c r="L88" s="9">
        <v>1.5470588240000001</v>
      </c>
      <c r="M88" s="9">
        <v>0.19413919399999999</v>
      </c>
      <c r="N88" s="9">
        <v>149.54409340000001</v>
      </c>
      <c r="O88" s="9">
        <v>1</v>
      </c>
      <c r="P88" s="9">
        <v>60</v>
      </c>
      <c r="Q88" s="9">
        <v>1</v>
      </c>
      <c r="R88" s="9" t="s">
        <v>93</v>
      </c>
      <c r="S88" s="9">
        <v>26</v>
      </c>
      <c r="T88" s="9">
        <v>41</v>
      </c>
      <c r="U88" s="9">
        <v>1</v>
      </c>
      <c r="V88" s="9">
        <v>1</v>
      </c>
      <c r="W88" s="9">
        <v>1</v>
      </c>
      <c r="X88" s="9">
        <v>21</v>
      </c>
      <c r="Y88" s="9">
        <v>11</v>
      </c>
      <c r="Z88" s="9">
        <v>24</v>
      </c>
      <c r="AA88" s="9">
        <v>20</v>
      </c>
      <c r="AB88" s="9">
        <v>24</v>
      </c>
      <c r="AC88" s="9">
        <v>100</v>
      </c>
      <c r="AD88" s="9">
        <v>19</v>
      </c>
      <c r="AE88" s="9">
        <v>17</v>
      </c>
      <c r="AF88" s="9">
        <v>18</v>
      </c>
      <c r="AG88" s="9">
        <v>18</v>
      </c>
      <c r="AH88" s="9">
        <v>17</v>
      </c>
      <c r="AI88" s="9">
        <f t="shared" si="0"/>
        <v>89</v>
      </c>
      <c r="AJ88" s="9">
        <v>10</v>
      </c>
      <c r="AK88" s="9">
        <v>5</v>
      </c>
      <c r="AL88" s="9">
        <v>58.5</v>
      </c>
      <c r="AM88" s="9">
        <v>68.400000000000006</v>
      </c>
      <c r="AN88" s="9">
        <v>69.8</v>
      </c>
      <c r="AO88" s="9">
        <v>58.1</v>
      </c>
      <c r="AP88" s="9">
        <v>70.7</v>
      </c>
      <c r="AQ88" s="9">
        <v>74.099999999999994</v>
      </c>
      <c r="AR88" s="9">
        <v>56.2</v>
      </c>
      <c r="AS88" s="9">
        <v>57.6</v>
      </c>
      <c r="AT88" s="9">
        <v>29.6</v>
      </c>
      <c r="AU88" s="9">
        <v>38.799999999999997</v>
      </c>
      <c r="AV88" s="9">
        <v>16</v>
      </c>
      <c r="AW88" s="9">
        <v>0</v>
      </c>
      <c r="AX88" s="9">
        <v>8</v>
      </c>
      <c r="AY88" s="9">
        <v>8</v>
      </c>
      <c r="AZ88" s="9">
        <v>45</v>
      </c>
      <c r="BA88" s="9">
        <v>25</v>
      </c>
      <c r="BB88" s="9">
        <v>100</v>
      </c>
      <c r="BC88" s="9">
        <v>35</v>
      </c>
      <c r="BD88" s="9">
        <v>25</v>
      </c>
      <c r="BE88" s="9">
        <v>25</v>
      </c>
      <c r="BF88" s="9">
        <v>50</v>
      </c>
      <c r="BG88" s="9">
        <v>65</v>
      </c>
      <c r="BH88" s="9">
        <v>34.451300000000003</v>
      </c>
      <c r="BI88" s="9">
        <v>39.323900000000002</v>
      </c>
      <c r="BJ88" s="9">
        <v>2.7</v>
      </c>
      <c r="BK88" s="9">
        <v>0</v>
      </c>
      <c r="BL88" s="9">
        <v>0</v>
      </c>
      <c r="BM88" s="9">
        <v>1</v>
      </c>
      <c r="BN88" s="9">
        <v>0</v>
      </c>
      <c r="BO88" s="9">
        <v>2</v>
      </c>
      <c r="BP88" s="9">
        <v>0</v>
      </c>
      <c r="BQ88" s="9">
        <v>0</v>
      </c>
      <c r="BR88" s="9">
        <v>0</v>
      </c>
      <c r="BS88" s="9">
        <v>1</v>
      </c>
      <c r="BT88" s="9">
        <v>2</v>
      </c>
      <c r="BU88" s="9">
        <v>2</v>
      </c>
      <c r="BV88" s="9">
        <v>0</v>
      </c>
      <c r="BW88" s="9">
        <v>2</v>
      </c>
      <c r="BX88" s="9">
        <v>2</v>
      </c>
      <c r="BY88" s="9">
        <v>2</v>
      </c>
      <c r="BZ88" s="9">
        <v>14</v>
      </c>
      <c r="CA88" s="9">
        <v>5</v>
      </c>
      <c r="CB88" s="9"/>
      <c r="CC88" s="9"/>
      <c r="CD88" s="9"/>
      <c r="CE88" s="9"/>
      <c r="CF88" s="9"/>
      <c r="CG88" s="9"/>
      <c r="CH88" s="9"/>
      <c r="CI88" s="9">
        <v>25</v>
      </c>
      <c r="CJ88" s="9">
        <v>26</v>
      </c>
      <c r="CK88" s="9">
        <v>22</v>
      </c>
      <c r="CL88" s="9">
        <v>21</v>
      </c>
      <c r="CM88" s="9">
        <v>17.190000000000001</v>
      </c>
      <c r="CN88" s="9">
        <v>21.75</v>
      </c>
      <c r="CO88" s="9"/>
      <c r="CP88" s="9">
        <v>1</v>
      </c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</row>
    <row r="89" spans="1:113" ht="16" x14ac:dyDescent="0.2">
      <c r="A89" s="9" t="s">
        <v>118</v>
      </c>
      <c r="B89" s="9">
        <v>1</v>
      </c>
      <c r="C89" s="9" t="s">
        <v>92</v>
      </c>
      <c r="D89" s="9">
        <v>1</v>
      </c>
      <c r="E89" s="9">
        <v>9.2434352939999993</v>
      </c>
      <c r="F89" s="9">
        <v>0.84751479299999999</v>
      </c>
      <c r="G89" s="9">
        <v>40.629298910000003</v>
      </c>
      <c r="H89" s="9">
        <v>49.872734209999997</v>
      </c>
      <c r="I89" s="9">
        <v>2.516213198</v>
      </c>
      <c r="J89" s="9">
        <v>1.5978196200000001</v>
      </c>
      <c r="K89" s="9">
        <v>0.105047059</v>
      </c>
      <c r="L89" s="9">
        <v>1.974752941</v>
      </c>
      <c r="M89" s="9">
        <v>7.4725274999999994E-2</v>
      </c>
      <c r="N89" s="9">
        <v>207.57031319999999</v>
      </c>
      <c r="O89" s="9">
        <v>1</v>
      </c>
      <c r="P89" s="9">
        <v>45</v>
      </c>
      <c r="Q89" s="9">
        <v>0</v>
      </c>
      <c r="R89" s="9" t="s">
        <v>93</v>
      </c>
      <c r="S89" s="9">
        <v>28.4</v>
      </c>
      <c r="T89" s="9">
        <v>47</v>
      </c>
      <c r="U89" s="9">
        <v>0</v>
      </c>
      <c r="V89" s="9">
        <v>0</v>
      </c>
      <c r="W89" s="9">
        <v>1</v>
      </c>
      <c r="X89" s="9">
        <v>25</v>
      </c>
      <c r="Y89" s="9">
        <v>15</v>
      </c>
      <c r="Z89" s="9">
        <v>23</v>
      </c>
      <c r="AA89" s="9">
        <v>18</v>
      </c>
      <c r="AB89" s="9">
        <v>25</v>
      </c>
      <c r="AC89" s="9">
        <v>106</v>
      </c>
      <c r="AD89" s="9">
        <v>20</v>
      </c>
      <c r="AE89" s="9">
        <v>20</v>
      </c>
      <c r="AF89" s="9">
        <v>17</v>
      </c>
      <c r="AG89" s="9">
        <v>4</v>
      </c>
      <c r="AH89" s="9">
        <v>19</v>
      </c>
      <c r="AI89" s="9">
        <f t="shared" si="0"/>
        <v>80</v>
      </c>
      <c r="AJ89" s="9">
        <v>0</v>
      </c>
      <c r="AK89" s="9">
        <v>0</v>
      </c>
      <c r="AL89" s="9">
        <v>36.299999999999997</v>
      </c>
      <c r="AM89" s="9">
        <v>40.700000000000003</v>
      </c>
      <c r="AN89" s="9">
        <v>64.3</v>
      </c>
      <c r="AO89" s="9">
        <v>34.1</v>
      </c>
      <c r="AP89" s="9">
        <v>62.3</v>
      </c>
      <c r="AQ89" s="9">
        <v>51.3</v>
      </c>
      <c r="AR89" s="9">
        <v>54.4</v>
      </c>
      <c r="AS89" s="9">
        <v>56.3</v>
      </c>
      <c r="AT89" s="9">
        <v>44.9</v>
      </c>
      <c r="AU89" s="9">
        <v>41.1</v>
      </c>
      <c r="AV89" s="9">
        <v>0</v>
      </c>
      <c r="AW89" s="9">
        <v>1</v>
      </c>
      <c r="AX89" s="9">
        <v>8</v>
      </c>
      <c r="AY89" s="9">
        <v>9</v>
      </c>
      <c r="AZ89" s="9">
        <v>55</v>
      </c>
      <c r="BA89" s="9">
        <v>6.25</v>
      </c>
      <c r="BB89" s="9">
        <v>100</v>
      </c>
      <c r="BC89" s="9">
        <v>37</v>
      </c>
      <c r="BD89" s="9">
        <v>18.75</v>
      </c>
      <c r="BE89" s="9">
        <v>12.5</v>
      </c>
      <c r="BF89" s="9">
        <v>100</v>
      </c>
      <c r="BG89" s="9">
        <v>75</v>
      </c>
      <c r="BH89" s="9">
        <v>44.779600000000002</v>
      </c>
      <c r="BI89" s="9">
        <v>33.148800000000001</v>
      </c>
      <c r="BJ89" s="9">
        <v>2.5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1</v>
      </c>
      <c r="BT89" s="9">
        <v>1</v>
      </c>
      <c r="BU89" s="9">
        <v>0</v>
      </c>
      <c r="BV89" s="9">
        <v>0</v>
      </c>
      <c r="BW89" s="9">
        <v>0</v>
      </c>
      <c r="BX89" s="9">
        <v>2</v>
      </c>
      <c r="BY89" s="9">
        <v>0</v>
      </c>
      <c r="BZ89" s="9">
        <v>4</v>
      </c>
      <c r="CA89" s="9">
        <v>7</v>
      </c>
      <c r="CB89" s="9">
        <v>50</v>
      </c>
      <c r="CC89" s="9">
        <v>56</v>
      </c>
      <c r="CD89" s="9">
        <v>48</v>
      </c>
      <c r="CE89" s="9">
        <v>54</v>
      </c>
      <c r="CF89" s="9">
        <v>39</v>
      </c>
      <c r="CG89" s="9">
        <v>50</v>
      </c>
      <c r="CH89" s="9">
        <v>0.43478260899999999</v>
      </c>
      <c r="CI89" s="9">
        <v>42</v>
      </c>
      <c r="CJ89" s="9">
        <v>38.5</v>
      </c>
      <c r="CK89" s="9">
        <v>42</v>
      </c>
      <c r="CL89" s="9">
        <v>41</v>
      </c>
      <c r="CM89" s="9">
        <v>36.869999999999997</v>
      </c>
      <c r="CN89" s="9">
        <v>14.69</v>
      </c>
      <c r="CO89" s="9"/>
      <c r="CP89" s="9">
        <v>0</v>
      </c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</row>
    <row r="90" spans="1:113" ht="16" x14ac:dyDescent="0.2">
      <c r="A90" s="9" t="s">
        <v>115</v>
      </c>
      <c r="B90" s="9">
        <v>1</v>
      </c>
      <c r="C90" s="9" t="s">
        <v>92</v>
      </c>
      <c r="D90" s="9">
        <v>1</v>
      </c>
      <c r="E90" s="9">
        <v>9.4053764710000003</v>
      </c>
      <c r="F90" s="9">
        <v>0.49133727799999999</v>
      </c>
      <c r="G90" s="9">
        <v>49.193521740000001</v>
      </c>
      <c r="H90" s="9">
        <v>58.598898210000002</v>
      </c>
      <c r="I90" s="9">
        <v>1.6046345179999999</v>
      </c>
      <c r="J90" s="9">
        <v>0.17477531599999999</v>
      </c>
      <c r="K90" s="9">
        <v>0.109058824</v>
      </c>
      <c r="L90" s="9">
        <v>0.75478235299999996</v>
      </c>
      <c r="M90" s="9">
        <v>6.1791209E-2</v>
      </c>
      <c r="N90" s="9">
        <v>87.051846150000003</v>
      </c>
      <c r="O90" s="9">
        <v>1</v>
      </c>
      <c r="P90" s="9">
        <v>48</v>
      </c>
      <c r="Q90" s="9">
        <v>0</v>
      </c>
      <c r="R90" s="9" t="s">
        <v>116</v>
      </c>
      <c r="S90" s="9">
        <v>25.7</v>
      </c>
      <c r="T90" s="9">
        <v>58</v>
      </c>
      <c r="U90" s="9">
        <v>1</v>
      </c>
      <c r="V90" s="9">
        <v>1</v>
      </c>
      <c r="W90" s="9">
        <v>1</v>
      </c>
      <c r="X90" s="9">
        <v>15</v>
      </c>
      <c r="Y90" s="9">
        <v>10</v>
      </c>
      <c r="Z90" s="9">
        <v>19</v>
      </c>
      <c r="AA90" s="9">
        <v>12</v>
      </c>
      <c r="AB90" s="9">
        <v>19</v>
      </c>
      <c r="AC90" s="9">
        <v>75</v>
      </c>
      <c r="AD90" s="9">
        <v>19</v>
      </c>
      <c r="AE90" s="9">
        <v>19</v>
      </c>
      <c r="AF90" s="9">
        <v>19</v>
      </c>
      <c r="AG90" s="9">
        <v>14</v>
      </c>
      <c r="AH90" s="9">
        <v>8</v>
      </c>
      <c r="AI90" s="9">
        <f t="shared" si="0"/>
        <v>79</v>
      </c>
      <c r="AJ90" s="9">
        <v>30</v>
      </c>
      <c r="AK90" s="9">
        <v>7</v>
      </c>
      <c r="AL90" s="9">
        <v>54.8</v>
      </c>
      <c r="AM90" s="9">
        <v>72.099999999999994</v>
      </c>
      <c r="AN90" s="9">
        <v>69.8</v>
      </c>
      <c r="AO90" s="9">
        <v>59.8</v>
      </c>
      <c r="AP90" s="9">
        <v>63.3</v>
      </c>
      <c r="AQ90" s="9">
        <v>55.3</v>
      </c>
      <c r="AR90" s="9">
        <v>49.9</v>
      </c>
      <c r="AS90" s="9">
        <v>54.4</v>
      </c>
      <c r="AT90" s="9">
        <v>32.4</v>
      </c>
      <c r="AU90" s="9">
        <v>41.1</v>
      </c>
      <c r="AV90" s="9">
        <v>21</v>
      </c>
      <c r="AW90" s="9">
        <v>8</v>
      </c>
      <c r="AX90" s="9">
        <v>6</v>
      </c>
      <c r="AY90" s="9">
        <v>14</v>
      </c>
      <c r="AZ90" s="9">
        <v>10</v>
      </c>
      <c r="BA90" s="9">
        <v>0</v>
      </c>
      <c r="BB90" s="9">
        <v>31</v>
      </c>
      <c r="BC90" s="9">
        <v>20</v>
      </c>
      <c r="BD90" s="9">
        <v>12.5</v>
      </c>
      <c r="BE90" s="9">
        <v>12.5</v>
      </c>
      <c r="BF90" s="9">
        <v>100</v>
      </c>
      <c r="BG90" s="9">
        <v>60</v>
      </c>
      <c r="BH90" s="9">
        <v>47.489699999999999</v>
      </c>
      <c r="BI90" s="9">
        <v>15.1305</v>
      </c>
      <c r="BJ90" s="9">
        <v>2.1</v>
      </c>
      <c r="BK90" s="9">
        <v>1</v>
      </c>
      <c r="BL90" s="9">
        <v>1</v>
      </c>
      <c r="BM90" s="9">
        <v>2</v>
      </c>
      <c r="BN90" s="9">
        <v>0</v>
      </c>
      <c r="BO90" s="9">
        <v>1</v>
      </c>
      <c r="BP90" s="9">
        <v>0</v>
      </c>
      <c r="BQ90" s="9">
        <v>1</v>
      </c>
      <c r="BR90" s="9">
        <v>0</v>
      </c>
      <c r="BS90" s="9">
        <v>2</v>
      </c>
      <c r="BT90" s="9">
        <v>0</v>
      </c>
      <c r="BU90" s="9">
        <v>0</v>
      </c>
      <c r="BV90" s="9">
        <v>1</v>
      </c>
      <c r="BW90" s="9">
        <v>1</v>
      </c>
      <c r="BX90" s="9">
        <v>2</v>
      </c>
      <c r="BY90" s="9">
        <v>1</v>
      </c>
      <c r="BZ90" s="9">
        <v>13</v>
      </c>
      <c r="CA90" s="9">
        <v>11</v>
      </c>
      <c r="CB90" s="9">
        <v>43</v>
      </c>
      <c r="CC90" s="9">
        <v>39</v>
      </c>
      <c r="CD90" s="9">
        <v>53</v>
      </c>
      <c r="CE90" s="9">
        <v>64</v>
      </c>
      <c r="CF90" s="9">
        <v>33</v>
      </c>
      <c r="CG90" s="9">
        <v>43</v>
      </c>
      <c r="CH90" s="9">
        <v>0.31914893599999999</v>
      </c>
      <c r="CI90" s="9">
        <v>50</v>
      </c>
      <c r="CJ90" s="9">
        <v>53</v>
      </c>
      <c r="CK90" s="9">
        <v>42</v>
      </c>
      <c r="CL90" s="9">
        <v>48</v>
      </c>
      <c r="CM90" s="9">
        <v>22.31</v>
      </c>
      <c r="CN90" s="9">
        <v>23.46</v>
      </c>
      <c r="CO90" s="9"/>
      <c r="CP90" s="9">
        <v>0</v>
      </c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</row>
    <row r="91" spans="1:113" ht="16" x14ac:dyDescent="0.2">
      <c r="A91" s="9" t="s">
        <v>124</v>
      </c>
      <c r="B91" s="9">
        <v>1</v>
      </c>
      <c r="C91" s="9" t="s">
        <v>92</v>
      </c>
      <c r="D91" s="9">
        <v>1</v>
      </c>
      <c r="E91" s="9">
        <v>10.52761765</v>
      </c>
      <c r="F91" s="9">
        <v>0.67893491100000003</v>
      </c>
      <c r="G91" s="9">
        <v>47.163701090000004</v>
      </c>
      <c r="H91" s="9">
        <v>57.691318729999999</v>
      </c>
      <c r="I91" s="9">
        <v>3.160238579</v>
      </c>
      <c r="J91" s="9">
        <v>0.65255696200000002</v>
      </c>
      <c r="K91" s="9">
        <v>0.12998235299999999</v>
      </c>
      <c r="L91" s="9">
        <v>0.738741176</v>
      </c>
      <c r="M91" s="9">
        <v>5.4142857000000003E-2</v>
      </c>
      <c r="N91" s="9">
        <v>100.3275055</v>
      </c>
      <c r="O91" s="9">
        <v>1</v>
      </c>
      <c r="P91" s="9">
        <v>19</v>
      </c>
      <c r="Q91" s="9">
        <v>1</v>
      </c>
      <c r="R91" s="9" t="s">
        <v>93</v>
      </c>
      <c r="S91" s="9">
        <v>22</v>
      </c>
      <c r="T91" s="9">
        <v>21</v>
      </c>
      <c r="U91" s="9">
        <v>0</v>
      </c>
      <c r="V91" s="9">
        <v>0</v>
      </c>
      <c r="W91" s="9">
        <v>1</v>
      </c>
      <c r="X91" s="9">
        <v>21</v>
      </c>
      <c r="Y91" s="9">
        <v>14</v>
      </c>
      <c r="Z91" s="9">
        <v>25</v>
      </c>
      <c r="AA91" s="9">
        <v>19</v>
      </c>
      <c r="AB91" s="9">
        <v>20</v>
      </c>
      <c r="AC91" s="9">
        <v>99</v>
      </c>
      <c r="AD91" s="9">
        <v>15</v>
      </c>
      <c r="AE91" s="9">
        <v>15</v>
      </c>
      <c r="AF91" s="9">
        <v>17</v>
      </c>
      <c r="AG91" s="9">
        <v>15</v>
      </c>
      <c r="AH91" s="9">
        <v>15</v>
      </c>
      <c r="AI91" s="9">
        <f t="shared" si="0"/>
        <v>77</v>
      </c>
      <c r="AJ91" s="9">
        <v>57</v>
      </c>
      <c r="AK91" s="9">
        <v>10</v>
      </c>
      <c r="AL91" s="9">
        <v>58.5</v>
      </c>
      <c r="AM91" s="9">
        <v>59.5</v>
      </c>
      <c r="AN91" s="9">
        <v>64.3</v>
      </c>
      <c r="AO91" s="9">
        <v>58.1</v>
      </c>
      <c r="AP91" s="9">
        <v>57.2</v>
      </c>
      <c r="AQ91" s="9">
        <v>43.9</v>
      </c>
      <c r="AR91" s="9">
        <v>40.6</v>
      </c>
      <c r="AS91" s="9">
        <v>38</v>
      </c>
      <c r="AT91" s="9">
        <v>32.4</v>
      </c>
      <c r="AU91" s="9">
        <v>56</v>
      </c>
      <c r="AV91" s="9">
        <v>26</v>
      </c>
      <c r="AW91" s="9">
        <v>0</v>
      </c>
      <c r="AX91" s="9">
        <v>4</v>
      </c>
      <c r="AY91" s="9">
        <v>4</v>
      </c>
      <c r="AZ91" s="9">
        <v>75</v>
      </c>
      <c r="BA91" s="9">
        <v>50</v>
      </c>
      <c r="BB91" s="9">
        <v>41</v>
      </c>
      <c r="BC91" s="9">
        <v>20</v>
      </c>
      <c r="BD91" s="9">
        <v>31.25</v>
      </c>
      <c r="BE91" s="9">
        <v>50</v>
      </c>
      <c r="BF91" s="9">
        <v>100</v>
      </c>
      <c r="BG91" s="9">
        <v>80</v>
      </c>
      <c r="BH91" s="9">
        <v>50.445099999999996</v>
      </c>
      <c r="BI91" s="9">
        <v>32.129199999999997</v>
      </c>
      <c r="BJ91" s="9">
        <v>1.8</v>
      </c>
      <c r="BK91" s="9">
        <v>0</v>
      </c>
      <c r="BL91" s="9">
        <v>1</v>
      </c>
      <c r="BM91" s="9">
        <v>0</v>
      </c>
      <c r="BN91" s="9">
        <v>0</v>
      </c>
      <c r="BO91" s="9">
        <v>2</v>
      </c>
      <c r="BP91" s="9">
        <v>0</v>
      </c>
      <c r="BQ91" s="9">
        <v>1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1</v>
      </c>
      <c r="BX91" s="9">
        <v>2</v>
      </c>
      <c r="BY91" s="9">
        <v>1</v>
      </c>
      <c r="BZ91" s="9">
        <v>8</v>
      </c>
      <c r="CA91" s="9">
        <v>6</v>
      </c>
      <c r="CB91" s="9">
        <v>31</v>
      </c>
      <c r="CC91" s="9">
        <v>29</v>
      </c>
      <c r="CD91" s="9">
        <v>49</v>
      </c>
      <c r="CE91" s="9">
        <v>57</v>
      </c>
      <c r="CF91" s="9">
        <v>37</v>
      </c>
      <c r="CG91" s="9">
        <v>31</v>
      </c>
      <c r="CH91" s="9">
        <v>0.34</v>
      </c>
      <c r="CI91" s="9">
        <v>27</v>
      </c>
      <c r="CJ91" s="9">
        <v>26</v>
      </c>
      <c r="CK91" s="9">
        <v>22</v>
      </c>
      <c r="CL91" s="9">
        <v>25</v>
      </c>
      <c r="CM91" s="9">
        <v>10.8</v>
      </c>
      <c r="CN91" s="9">
        <v>11.98</v>
      </c>
      <c r="CO91" s="9"/>
      <c r="CP91" s="9">
        <v>1</v>
      </c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</row>
    <row r="92" spans="1:113" ht="16" x14ac:dyDescent="0.2">
      <c r="A92" s="9" t="s">
        <v>167</v>
      </c>
      <c r="B92" s="9">
        <v>2</v>
      </c>
      <c r="C92" s="11" t="s">
        <v>147</v>
      </c>
      <c r="D92" s="9">
        <v>1</v>
      </c>
      <c r="E92" s="9">
        <v>8.6529399999999992</v>
      </c>
      <c r="F92" s="9">
        <v>1.0355000000000001</v>
      </c>
      <c r="G92" s="9">
        <v>25.9</v>
      </c>
      <c r="H92" s="9">
        <v>34.5</v>
      </c>
      <c r="I92" s="9">
        <v>2.9340099999999998</v>
      </c>
      <c r="J92" s="9">
        <v>1.5844499999999999</v>
      </c>
      <c r="K92" s="9">
        <v>6.5360000000000001E-2</v>
      </c>
      <c r="L92" s="9">
        <v>0.47023999999999999</v>
      </c>
      <c r="M92" s="9"/>
      <c r="N92" s="9">
        <v>17.8</v>
      </c>
      <c r="O92" s="9"/>
      <c r="P92" s="11">
        <v>62.349075975359341</v>
      </c>
      <c r="Q92" s="26">
        <v>0</v>
      </c>
      <c r="R92" s="9" t="s">
        <v>93</v>
      </c>
      <c r="S92" s="9">
        <v>22.9</v>
      </c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14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</row>
    <row r="93" spans="1:113" s="3" customFormat="1" ht="14" customHeight="1" x14ac:dyDescent="0.2">
      <c r="A93" s="9" t="s">
        <v>168</v>
      </c>
      <c r="B93" s="21">
        <v>2</v>
      </c>
      <c r="C93" s="11" t="s">
        <v>147</v>
      </c>
      <c r="D93" s="13">
        <v>1</v>
      </c>
      <c r="E93" s="9">
        <v>7.7120499999999996</v>
      </c>
      <c r="F93" s="9">
        <v>0.77385000000000004</v>
      </c>
      <c r="G93" s="9">
        <v>25.3</v>
      </c>
      <c r="H93" s="9">
        <v>33</v>
      </c>
      <c r="I93" s="9">
        <v>2.08188</v>
      </c>
      <c r="J93" s="9"/>
      <c r="K93" s="9">
        <v>7.5810000000000002E-2</v>
      </c>
      <c r="L93" s="9">
        <v>1.2417400000000001</v>
      </c>
      <c r="M93" s="9"/>
      <c r="N93" s="9">
        <v>102</v>
      </c>
      <c r="O93" s="28"/>
      <c r="P93" s="11">
        <v>78.19849418206708</v>
      </c>
      <c r="Q93" s="26">
        <v>1</v>
      </c>
      <c r="R93" s="21" t="s">
        <v>132</v>
      </c>
      <c r="S93" s="9">
        <v>28.7</v>
      </c>
      <c r="T93" s="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9"/>
      <c r="CC93" s="9"/>
      <c r="CD93" s="9"/>
      <c r="CE93" s="9"/>
      <c r="CF93" s="9"/>
      <c r="CG93" s="9"/>
      <c r="CH93" s="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</row>
    <row r="94" spans="1:113" s="4" customFormat="1" ht="14" customHeight="1" x14ac:dyDescent="0.2">
      <c r="A94" s="9" t="s">
        <v>169</v>
      </c>
      <c r="B94" s="10">
        <v>2</v>
      </c>
      <c r="C94" s="11" t="s">
        <v>147</v>
      </c>
      <c r="D94" s="13">
        <v>1</v>
      </c>
      <c r="E94" s="9">
        <v>10.74118</v>
      </c>
      <c r="F94" s="9">
        <v>0.89349000000000001</v>
      </c>
      <c r="G94" s="9">
        <v>60</v>
      </c>
      <c r="H94" s="9">
        <v>70.7</v>
      </c>
      <c r="I94" s="9">
        <v>3.6598999999999999</v>
      </c>
      <c r="J94" s="9"/>
      <c r="K94" s="9">
        <v>0.37907999999999997</v>
      </c>
      <c r="L94" s="9">
        <v>1.2261899999999999</v>
      </c>
      <c r="M94" s="9"/>
      <c r="N94" s="9">
        <v>132.80000000000001</v>
      </c>
      <c r="O94" s="8"/>
      <c r="P94" s="11">
        <v>45.481177275838469</v>
      </c>
      <c r="Q94" s="26">
        <v>0</v>
      </c>
      <c r="R94" s="21" t="s">
        <v>93</v>
      </c>
      <c r="S94" s="21">
        <v>28.1</v>
      </c>
      <c r="T94" s="9"/>
      <c r="U94" s="8"/>
      <c r="V94" s="12"/>
      <c r="W94" s="12"/>
      <c r="X94" s="5"/>
      <c r="Y94" s="6"/>
      <c r="Z94" s="7"/>
      <c r="AA94" s="7"/>
      <c r="AB94" s="8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</row>
    <row r="95" spans="1:113" s="4" customFormat="1" ht="14" customHeight="1" x14ac:dyDescent="0.2">
      <c r="A95" s="9" t="s">
        <v>170</v>
      </c>
      <c r="B95" s="9">
        <v>2</v>
      </c>
      <c r="C95" s="11" t="s">
        <v>147</v>
      </c>
      <c r="D95" s="13">
        <v>1</v>
      </c>
      <c r="E95" s="9">
        <v>12.54913</v>
      </c>
      <c r="F95" s="9">
        <v>0.61024999999999996</v>
      </c>
      <c r="G95" s="9">
        <v>46.2</v>
      </c>
      <c r="H95" s="9">
        <v>58.7</v>
      </c>
      <c r="I95" s="9">
        <v>2.8252899999999999</v>
      </c>
      <c r="J95" s="9">
        <v>1.69859</v>
      </c>
      <c r="K95" s="9">
        <v>7.1900000000000006E-2</v>
      </c>
      <c r="L95" s="9">
        <v>0.98809999999999998</v>
      </c>
      <c r="M95" s="9"/>
      <c r="N95" s="9">
        <v>68.3</v>
      </c>
      <c r="O95" s="8"/>
      <c r="P95" s="11">
        <v>72.136892539356609</v>
      </c>
      <c r="Q95" s="26">
        <v>1</v>
      </c>
      <c r="R95" s="21" t="s">
        <v>93</v>
      </c>
      <c r="S95" s="21">
        <v>17.100000000000001</v>
      </c>
      <c r="T95" s="9"/>
      <c r="U95" s="8"/>
      <c r="V95" s="12"/>
      <c r="W95" s="12"/>
      <c r="X95" s="5"/>
      <c r="Y95" s="6"/>
      <c r="Z95" s="7"/>
      <c r="AA95" s="7"/>
      <c r="AB95" s="8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</row>
    <row r="96" spans="1:113" s="4" customFormat="1" ht="14" customHeight="1" x14ac:dyDescent="0.2">
      <c r="A96" s="9" t="s">
        <v>171</v>
      </c>
      <c r="B96" s="9">
        <v>2</v>
      </c>
      <c r="C96" s="11" t="s">
        <v>147</v>
      </c>
      <c r="D96" s="13">
        <v>1</v>
      </c>
      <c r="E96" s="9">
        <v>6.5682099999999997</v>
      </c>
      <c r="F96" s="9">
        <v>0.24629000000000001</v>
      </c>
      <c r="G96" s="9">
        <v>28.6</v>
      </c>
      <c r="H96" s="9">
        <v>35.1</v>
      </c>
      <c r="I96" s="9">
        <v>2.7314099999999999</v>
      </c>
      <c r="J96" s="9"/>
      <c r="K96" s="9">
        <v>6.5360000000000001E-2</v>
      </c>
      <c r="L96" s="9">
        <v>0.92262</v>
      </c>
      <c r="M96" s="9"/>
      <c r="N96" s="9">
        <v>59.9</v>
      </c>
      <c r="O96" s="8"/>
      <c r="P96" s="11">
        <v>59.860369609856264</v>
      </c>
      <c r="Q96" s="26">
        <v>0</v>
      </c>
      <c r="R96" s="21" t="s">
        <v>93</v>
      </c>
      <c r="S96" s="21">
        <v>34.700000000000003</v>
      </c>
      <c r="T96" s="9"/>
      <c r="U96" s="8"/>
      <c r="V96" s="12"/>
      <c r="W96" s="12"/>
      <c r="X96" s="5"/>
      <c r="Y96" s="6"/>
      <c r="Z96" s="7"/>
      <c r="AA96" s="7"/>
      <c r="AB96" s="8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</row>
    <row r="97" spans="1:113" s="4" customFormat="1" ht="14" customHeight="1" x14ac:dyDescent="0.2">
      <c r="A97" s="9" t="s">
        <v>172</v>
      </c>
      <c r="B97" s="9">
        <v>2</v>
      </c>
      <c r="C97" s="11" t="s">
        <v>147</v>
      </c>
      <c r="D97" s="13">
        <v>1</v>
      </c>
      <c r="E97" s="9">
        <v>5.9674399999999999</v>
      </c>
      <c r="F97" s="9">
        <v>0.28900999999999999</v>
      </c>
      <c r="G97" s="9">
        <v>34.200000000000003</v>
      </c>
      <c r="H97" s="9">
        <v>40.200000000000003</v>
      </c>
      <c r="I97" s="9">
        <v>2.6097999999999999</v>
      </c>
      <c r="J97" s="9"/>
      <c r="K97" s="9">
        <v>3.4689999999999999E-2</v>
      </c>
      <c r="L97" s="9">
        <v>0.60038999999999998</v>
      </c>
      <c r="M97" s="9"/>
      <c r="N97" s="9">
        <v>46.2</v>
      </c>
      <c r="O97" s="8"/>
      <c r="P97" s="11">
        <v>55.904175222450377</v>
      </c>
      <c r="Q97" s="26">
        <v>0</v>
      </c>
      <c r="R97" s="21" t="s">
        <v>93</v>
      </c>
      <c r="S97" s="21">
        <v>28.7</v>
      </c>
      <c r="T97" s="9"/>
      <c r="U97" s="8"/>
      <c r="V97" s="12"/>
      <c r="W97" s="12"/>
      <c r="X97" s="5"/>
      <c r="Y97" s="6"/>
      <c r="Z97" s="7"/>
      <c r="AA97" s="7"/>
      <c r="AB97" s="8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</row>
    <row r="98" spans="1:113" s="4" customFormat="1" ht="14" customHeight="1" x14ac:dyDescent="0.2">
      <c r="A98" s="9" t="s">
        <v>173</v>
      </c>
      <c r="B98" s="9">
        <v>2</v>
      </c>
      <c r="C98" s="11" t="s">
        <v>147</v>
      </c>
      <c r="D98" s="13">
        <v>1</v>
      </c>
      <c r="E98" s="9">
        <v>7.9319499999999996</v>
      </c>
      <c r="F98" s="9">
        <v>0.55464000000000002</v>
      </c>
      <c r="G98" s="9">
        <v>31.9</v>
      </c>
      <c r="H98" s="9">
        <v>39.799999999999997</v>
      </c>
      <c r="I98" s="9">
        <v>2.7791700000000001</v>
      </c>
      <c r="J98" s="9"/>
      <c r="K98" s="9">
        <v>5.2290000000000003E-2</v>
      </c>
      <c r="L98" s="9">
        <v>0.72023999999999999</v>
      </c>
      <c r="M98" s="9"/>
      <c r="N98" s="9">
        <v>53</v>
      </c>
      <c r="O98" s="9"/>
      <c r="P98" s="11">
        <v>68.076659822039701</v>
      </c>
      <c r="Q98" s="26">
        <v>0</v>
      </c>
      <c r="R98" s="21" t="s">
        <v>93</v>
      </c>
      <c r="S98" s="21">
        <v>25.1</v>
      </c>
      <c r="T98" s="9"/>
      <c r="U98" s="8"/>
      <c r="V98" s="12"/>
      <c r="W98" s="9"/>
      <c r="X98" s="5"/>
      <c r="Y98" s="6"/>
      <c r="Z98" s="7"/>
      <c r="AA98" s="7"/>
      <c r="AB98" s="8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</row>
    <row r="99" spans="1:113" ht="16" x14ac:dyDescent="0.2">
      <c r="A99" s="9" t="s">
        <v>174</v>
      </c>
      <c r="B99" s="9">
        <v>2</v>
      </c>
      <c r="C99" s="11" t="s">
        <v>147</v>
      </c>
      <c r="D99" s="13">
        <v>1</v>
      </c>
      <c r="E99" s="9">
        <v>6.8176500000000004</v>
      </c>
      <c r="F99" s="9">
        <v>0.44379000000000002</v>
      </c>
      <c r="G99" s="9">
        <v>32.200000000000003</v>
      </c>
      <c r="H99" s="9">
        <v>39.1</v>
      </c>
      <c r="I99" s="9">
        <v>4.0558399999999999</v>
      </c>
      <c r="J99" s="9">
        <v>1.0349699999999999</v>
      </c>
      <c r="K99" s="9">
        <v>1.9609999999999999E-2</v>
      </c>
      <c r="L99" s="9">
        <v>0.98809999999999998</v>
      </c>
      <c r="M99" s="9">
        <v>4.3540000000000002E-2</v>
      </c>
      <c r="N99" s="9">
        <v>97.4</v>
      </c>
      <c r="O99" s="9"/>
      <c r="P99" s="11">
        <v>54.767967145790557</v>
      </c>
      <c r="Q99" s="26">
        <v>0</v>
      </c>
      <c r="R99" s="9" t="s">
        <v>93</v>
      </c>
      <c r="S99" s="9">
        <v>33.200000000000003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</row>
    <row r="100" spans="1:113" ht="16" x14ac:dyDescent="0.2">
      <c r="A100" s="9" t="s">
        <v>176</v>
      </c>
      <c r="B100" s="9">
        <v>2</v>
      </c>
      <c r="C100" s="11" t="s">
        <v>147</v>
      </c>
      <c r="D100" s="13">
        <v>1</v>
      </c>
      <c r="E100" s="9">
        <v>7.4961000000000002</v>
      </c>
      <c r="F100" s="9">
        <v>0.73672000000000004</v>
      </c>
      <c r="G100" s="9">
        <v>35.1</v>
      </c>
      <c r="H100" s="9">
        <v>42.6</v>
      </c>
      <c r="I100" s="9">
        <v>3.48786</v>
      </c>
      <c r="J100" s="9">
        <v>1.70767</v>
      </c>
      <c r="K100" s="9">
        <v>2.7689999999999999E-2</v>
      </c>
      <c r="L100" s="9">
        <v>0.98465999999999998</v>
      </c>
      <c r="M100" s="9"/>
      <c r="N100" s="9">
        <v>89</v>
      </c>
      <c r="O100" s="9"/>
      <c r="P100" s="11">
        <v>62.620123203285424</v>
      </c>
      <c r="Q100" s="26">
        <v>0</v>
      </c>
      <c r="R100" s="9" t="s">
        <v>93</v>
      </c>
      <c r="S100" s="9">
        <v>25.7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</row>
    <row r="101" spans="1:113" ht="16" x14ac:dyDescent="0.2">
      <c r="A101" s="9" t="s">
        <v>175</v>
      </c>
      <c r="B101" s="9">
        <v>2</v>
      </c>
      <c r="C101" s="11" t="s">
        <v>160</v>
      </c>
      <c r="D101" s="13">
        <v>1</v>
      </c>
      <c r="E101" s="9">
        <v>5.8440599999999998</v>
      </c>
      <c r="F101" s="9">
        <v>0.68708999999999998</v>
      </c>
      <c r="G101" s="9">
        <v>32.299999999999997</v>
      </c>
      <c r="H101" s="9">
        <v>38.1</v>
      </c>
      <c r="I101" s="9">
        <v>2.4994999999999998</v>
      </c>
      <c r="J101" s="9"/>
      <c r="K101" s="9">
        <v>3.7400000000000003E-2</v>
      </c>
      <c r="L101" s="9">
        <v>0.69225999999999999</v>
      </c>
      <c r="M101" s="9"/>
      <c r="N101" s="9">
        <v>85.3</v>
      </c>
      <c r="O101" s="9"/>
      <c r="P101" s="11">
        <v>60.030116358658454</v>
      </c>
      <c r="Q101" s="30">
        <v>0</v>
      </c>
      <c r="R101" s="9" t="s">
        <v>93</v>
      </c>
      <c r="S101" s="9">
        <v>32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</row>
    <row r="102" spans="1:113" ht="16" x14ac:dyDescent="0.2">
      <c r="A102" s="9" t="s">
        <v>177</v>
      </c>
      <c r="B102" s="9">
        <v>2</v>
      </c>
      <c r="C102" s="21" t="s">
        <v>147</v>
      </c>
      <c r="D102" s="13">
        <v>1</v>
      </c>
      <c r="E102" s="9">
        <v>9.8588199999999997</v>
      </c>
      <c r="F102" s="9">
        <v>0.63314000000000004</v>
      </c>
      <c r="G102" s="9">
        <v>57.1</v>
      </c>
      <c r="H102" s="9">
        <v>66.900000000000006</v>
      </c>
      <c r="I102" s="9">
        <v>3.60406</v>
      </c>
      <c r="J102" s="9">
        <v>1.02085</v>
      </c>
      <c r="K102" s="9">
        <v>3.092E-2</v>
      </c>
      <c r="L102" s="9">
        <v>1.15476</v>
      </c>
      <c r="M102" s="9"/>
      <c r="N102" s="9">
        <v>110.7</v>
      </c>
      <c r="O102" s="9"/>
      <c r="P102" s="11">
        <v>65.615331964407943</v>
      </c>
      <c r="Q102" s="26">
        <v>0</v>
      </c>
      <c r="R102" s="9" t="s">
        <v>93</v>
      </c>
      <c r="S102" s="9">
        <v>24.3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</row>
    <row r="103" spans="1:113" ht="16" x14ac:dyDescent="0.2">
      <c r="A103" s="9" t="s">
        <v>178</v>
      </c>
      <c r="B103" s="9">
        <v>2</v>
      </c>
      <c r="C103" s="21" t="s">
        <v>147</v>
      </c>
      <c r="D103" s="13">
        <v>1</v>
      </c>
      <c r="E103" s="9">
        <v>10.117649999999999</v>
      </c>
      <c r="F103" s="9">
        <v>0.54437999999999998</v>
      </c>
      <c r="G103" s="9">
        <v>54.8</v>
      </c>
      <c r="H103" s="9">
        <v>64.900000000000006</v>
      </c>
      <c r="I103" s="9">
        <v>3.4466999999999999</v>
      </c>
      <c r="J103" s="9">
        <v>0.40939999999999999</v>
      </c>
      <c r="K103" s="9">
        <v>6.5360000000000001E-2</v>
      </c>
      <c r="L103" s="9">
        <v>0.79166999999999998</v>
      </c>
      <c r="M103" s="9">
        <v>3.542E-2</v>
      </c>
      <c r="N103" s="9">
        <v>114.6</v>
      </c>
      <c r="O103" s="9"/>
      <c r="P103" s="11">
        <v>42.335386721423681</v>
      </c>
      <c r="Q103" s="26">
        <v>1</v>
      </c>
      <c r="R103" s="9" t="s">
        <v>132</v>
      </c>
      <c r="S103" s="9">
        <v>32.4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</row>
    <row r="104" spans="1:113" ht="16" x14ac:dyDescent="0.2">
      <c r="A104" s="9" t="s">
        <v>179</v>
      </c>
      <c r="B104" s="9">
        <v>2</v>
      </c>
      <c r="C104" s="30" t="s">
        <v>160</v>
      </c>
      <c r="D104" s="13">
        <v>1</v>
      </c>
      <c r="E104" s="9">
        <v>5.4941199999999997</v>
      </c>
      <c r="F104" s="9">
        <v>0.34910999999999998</v>
      </c>
      <c r="G104" s="9">
        <v>37.4</v>
      </c>
      <c r="H104" s="9">
        <v>42.9</v>
      </c>
      <c r="I104" s="9">
        <v>1.8375600000000001</v>
      </c>
      <c r="J104" s="9">
        <v>1.02878</v>
      </c>
      <c r="K104" s="9">
        <v>5.2290000000000003E-2</v>
      </c>
      <c r="L104" s="9">
        <v>0.45833000000000002</v>
      </c>
      <c r="M104" s="9">
        <v>5.62E-2</v>
      </c>
      <c r="N104" s="9">
        <v>55</v>
      </c>
      <c r="O104" s="9"/>
      <c r="P104" s="11">
        <v>49.812457221081452</v>
      </c>
      <c r="Q104" s="30">
        <v>0</v>
      </c>
      <c r="R104" s="9" t="s">
        <v>93</v>
      </c>
      <c r="S104" s="9">
        <v>28.5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</row>
    <row r="105" spans="1:113" ht="16" x14ac:dyDescent="0.2">
      <c r="A105" s="9" t="s">
        <v>180</v>
      </c>
      <c r="B105" s="9">
        <v>2</v>
      </c>
      <c r="C105" s="21" t="s">
        <v>147</v>
      </c>
      <c r="D105" s="13">
        <v>1</v>
      </c>
      <c r="E105" s="9">
        <v>4.4000000000000004</v>
      </c>
      <c r="F105" s="9">
        <v>0.28401999999999999</v>
      </c>
      <c r="G105" s="9">
        <v>27.1</v>
      </c>
      <c r="H105" s="9">
        <v>31.5</v>
      </c>
      <c r="I105" s="9">
        <v>2.5533000000000001</v>
      </c>
      <c r="J105" s="9">
        <v>1.2360500000000001</v>
      </c>
      <c r="K105" s="9">
        <v>1.307E-2</v>
      </c>
      <c r="L105" s="9">
        <v>0.63095000000000001</v>
      </c>
      <c r="M105" s="9">
        <v>6.3060000000000005E-2</v>
      </c>
      <c r="N105" s="9">
        <v>65.099999999999994</v>
      </c>
      <c r="O105" s="9"/>
      <c r="P105" s="11">
        <v>75.696098562628336</v>
      </c>
      <c r="Q105" s="26">
        <v>0</v>
      </c>
      <c r="R105" s="9" t="s">
        <v>93</v>
      </c>
      <c r="S105" s="9">
        <v>24.1</v>
      </c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</row>
    <row r="106" spans="1:113" ht="16" x14ac:dyDescent="0.2">
      <c r="A106" s="9" t="s">
        <v>186</v>
      </c>
      <c r="B106" s="9">
        <v>2</v>
      </c>
      <c r="C106" s="21" t="s">
        <v>147</v>
      </c>
      <c r="D106" s="13">
        <v>1</v>
      </c>
      <c r="E106" s="9">
        <v>10.17647</v>
      </c>
      <c r="F106" s="9">
        <v>0.94674999999999998</v>
      </c>
      <c r="G106" s="9">
        <v>44.8</v>
      </c>
      <c r="H106" s="9">
        <v>55</v>
      </c>
      <c r="I106" s="9">
        <v>2.2233499999999999</v>
      </c>
      <c r="J106" s="9">
        <v>0.66252</v>
      </c>
      <c r="K106" s="9">
        <v>5.2290000000000003E-2</v>
      </c>
      <c r="L106" s="9">
        <v>0.77976000000000001</v>
      </c>
      <c r="M106" s="9">
        <v>5.0540000000000002E-2</v>
      </c>
      <c r="N106" s="9">
        <v>100.8</v>
      </c>
      <c r="O106" s="9"/>
      <c r="P106" s="11">
        <v>46.168377823408626</v>
      </c>
      <c r="Q106" s="21">
        <v>1</v>
      </c>
      <c r="R106" s="26" t="s">
        <v>93</v>
      </c>
      <c r="S106" s="26">
        <v>30.6</v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</row>
    <row r="107" spans="1:113" ht="16" x14ac:dyDescent="0.2">
      <c r="A107" s="9" t="s">
        <v>183</v>
      </c>
      <c r="B107" s="9">
        <v>2</v>
      </c>
      <c r="C107" s="21" t="s">
        <v>147</v>
      </c>
      <c r="D107" s="13">
        <v>1</v>
      </c>
      <c r="E107" s="9">
        <v>11.170590000000001</v>
      </c>
      <c r="F107" s="9">
        <v>1.4733700000000001</v>
      </c>
      <c r="G107" s="9">
        <v>45.3</v>
      </c>
      <c r="H107" s="9">
        <v>56.5</v>
      </c>
      <c r="I107" s="9">
        <v>4.39086</v>
      </c>
      <c r="J107" s="9">
        <v>0.70569999999999999</v>
      </c>
      <c r="K107" s="9">
        <v>3.9219999999999998E-2</v>
      </c>
      <c r="L107" s="9">
        <v>1.9464300000000001</v>
      </c>
      <c r="M107" s="9"/>
      <c r="N107" s="9">
        <v>186</v>
      </c>
      <c r="O107" s="9"/>
      <c r="P107" s="11">
        <v>67.780971937029435</v>
      </c>
      <c r="Q107" s="21">
        <v>0</v>
      </c>
      <c r="R107" s="26" t="s">
        <v>93</v>
      </c>
      <c r="S107" s="26">
        <v>29.7</v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</row>
    <row r="108" spans="1:113" ht="16" x14ac:dyDescent="0.2">
      <c r="A108" s="9" t="s">
        <v>181</v>
      </c>
      <c r="B108" s="9">
        <v>2</v>
      </c>
      <c r="C108" s="21" t="s">
        <v>147</v>
      </c>
      <c r="D108" s="13">
        <v>1</v>
      </c>
      <c r="E108" s="9">
        <v>12.18824</v>
      </c>
      <c r="F108" s="9">
        <v>1.1597599999999999</v>
      </c>
      <c r="G108" s="9">
        <v>44.3</v>
      </c>
      <c r="H108" s="9">
        <v>56.5</v>
      </c>
      <c r="I108" s="9">
        <v>3.9847700000000001</v>
      </c>
      <c r="J108" s="9">
        <v>0.91215999999999997</v>
      </c>
      <c r="K108" s="9">
        <v>0.39868999999999999</v>
      </c>
      <c r="L108" s="9">
        <v>1.3809499999999999</v>
      </c>
      <c r="M108" s="9"/>
      <c r="N108" s="9">
        <v>120.4</v>
      </c>
      <c r="O108" s="9"/>
      <c r="P108" s="11">
        <v>69.051334702258728</v>
      </c>
      <c r="Q108" s="21">
        <v>1</v>
      </c>
      <c r="R108" s="26" t="s">
        <v>93</v>
      </c>
      <c r="S108" s="26">
        <v>22.1</v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</row>
    <row r="109" spans="1:113" ht="16" x14ac:dyDescent="0.2">
      <c r="A109" s="9" t="s">
        <v>182</v>
      </c>
      <c r="B109" s="9">
        <v>2</v>
      </c>
      <c r="C109" s="21" t="s">
        <v>147</v>
      </c>
      <c r="D109" s="13">
        <v>1</v>
      </c>
      <c r="E109" s="9">
        <v>5.39412</v>
      </c>
      <c r="F109" s="9">
        <v>0.44969999999999999</v>
      </c>
      <c r="G109" s="9">
        <v>40.700000000000003</v>
      </c>
      <c r="H109" s="9">
        <v>46.1</v>
      </c>
      <c r="I109" s="9">
        <v>2.43147</v>
      </c>
      <c r="J109" s="9">
        <v>0.69367000000000001</v>
      </c>
      <c r="K109" s="9">
        <v>2.8490000000000001E-2</v>
      </c>
      <c r="L109" s="9">
        <v>1.3631</v>
      </c>
      <c r="M109" s="9">
        <v>2.8490000000000001E-2</v>
      </c>
      <c r="N109" s="9">
        <v>181.9</v>
      </c>
      <c r="O109" s="9"/>
      <c r="P109" s="11">
        <v>59.994524298425738</v>
      </c>
      <c r="Q109" s="21">
        <v>1</v>
      </c>
      <c r="R109" s="26" t="s">
        <v>93</v>
      </c>
      <c r="S109" s="26">
        <v>21.2</v>
      </c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</row>
    <row r="110" spans="1:113" ht="16" x14ac:dyDescent="0.2">
      <c r="A110" s="9" t="s">
        <v>192</v>
      </c>
      <c r="B110" s="9">
        <v>2</v>
      </c>
      <c r="C110" s="20" t="s">
        <v>156</v>
      </c>
      <c r="D110" s="13">
        <v>1</v>
      </c>
      <c r="E110" s="9">
        <v>6.8754400000000002</v>
      </c>
      <c r="F110" s="9">
        <v>0.49813000000000002</v>
      </c>
      <c r="G110" s="9">
        <v>41.5</v>
      </c>
      <c r="H110" s="9">
        <v>48.3</v>
      </c>
      <c r="I110" s="9">
        <v>2.3632300000000002</v>
      </c>
      <c r="J110" s="9">
        <v>1.19652</v>
      </c>
      <c r="K110" s="9">
        <v>6.9760000000000003E-2</v>
      </c>
      <c r="L110" s="9">
        <v>0.62412000000000001</v>
      </c>
      <c r="M110" s="9">
        <v>0.28353</v>
      </c>
      <c r="N110" s="9">
        <v>157.4</v>
      </c>
      <c r="O110" s="9"/>
      <c r="P110" s="11">
        <v>74.696783025325118</v>
      </c>
      <c r="Q110" s="20">
        <v>1</v>
      </c>
      <c r="R110" s="26" t="s">
        <v>93</v>
      </c>
      <c r="S110" s="26">
        <v>27.1</v>
      </c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</row>
    <row r="111" spans="1:113" ht="16" x14ac:dyDescent="0.2">
      <c r="A111" s="9" t="s">
        <v>185</v>
      </c>
      <c r="B111" s="9">
        <v>2</v>
      </c>
      <c r="C111" s="21" t="s">
        <v>147</v>
      </c>
      <c r="D111" s="13">
        <v>1</v>
      </c>
      <c r="E111" s="9">
        <v>7.2274200000000004</v>
      </c>
      <c r="F111" s="9">
        <v>0.52285000000000004</v>
      </c>
      <c r="G111" s="9">
        <v>37</v>
      </c>
      <c r="H111" s="9">
        <v>44.2</v>
      </c>
      <c r="I111" s="9">
        <v>3.6627700000000001</v>
      </c>
      <c r="J111" s="9"/>
      <c r="K111" s="9">
        <v>7.8710000000000002E-2</v>
      </c>
      <c r="L111" s="9">
        <v>0.96569000000000005</v>
      </c>
      <c r="M111" s="9"/>
      <c r="N111" s="9">
        <v>124.4</v>
      </c>
      <c r="O111" s="9"/>
      <c r="P111" s="11">
        <v>74.184804928131413</v>
      </c>
      <c r="Q111" s="21">
        <v>0</v>
      </c>
      <c r="R111" s="26" t="s">
        <v>132</v>
      </c>
      <c r="S111" s="26">
        <v>24.7</v>
      </c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</row>
    <row r="112" spans="1:113" ht="16" x14ac:dyDescent="0.2">
      <c r="A112" s="9" t="s">
        <v>184</v>
      </c>
      <c r="B112" s="9">
        <v>2</v>
      </c>
      <c r="C112" s="21" t="s">
        <v>147</v>
      </c>
      <c r="D112" s="13">
        <v>1</v>
      </c>
      <c r="E112" s="9">
        <v>6.0529400000000004</v>
      </c>
      <c r="F112" s="9">
        <v>0.36094999999999999</v>
      </c>
      <c r="G112" s="9">
        <v>33</v>
      </c>
      <c r="H112" s="9">
        <v>39</v>
      </c>
      <c r="I112" s="9">
        <v>2.6852800000000001</v>
      </c>
      <c r="J112" s="9">
        <v>1.82219</v>
      </c>
      <c r="K112" s="9">
        <v>2.614E-2</v>
      </c>
      <c r="L112" s="9">
        <v>0.28571000000000002</v>
      </c>
      <c r="M112" s="9"/>
      <c r="N112" s="9">
        <v>41.9</v>
      </c>
      <c r="O112" s="9"/>
      <c r="P112" s="11">
        <v>65.708418891170425</v>
      </c>
      <c r="Q112" s="21">
        <v>1</v>
      </c>
      <c r="R112" s="26" t="s">
        <v>93</v>
      </c>
      <c r="S112" s="26">
        <v>20</v>
      </c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</row>
    <row r="113" spans="1:113" ht="16" x14ac:dyDescent="0.2">
      <c r="A113" s="9" t="s">
        <v>187</v>
      </c>
      <c r="B113" s="9">
        <v>2</v>
      </c>
      <c r="C113" s="21" t="s">
        <v>147</v>
      </c>
      <c r="D113" s="13">
        <v>1</v>
      </c>
      <c r="E113" s="9">
        <v>17.247039999999998</v>
      </c>
      <c r="F113" s="9">
        <v>1.1797899999999999</v>
      </c>
      <c r="G113" s="9">
        <v>45.2</v>
      </c>
      <c r="H113" s="9">
        <v>62.4</v>
      </c>
      <c r="I113" s="9">
        <v>3.66242</v>
      </c>
      <c r="J113" s="9">
        <v>0.70569999999999999</v>
      </c>
      <c r="K113" s="9">
        <v>7.8990000000000005E-2</v>
      </c>
      <c r="L113" s="9">
        <v>1.4745600000000001</v>
      </c>
      <c r="M113" s="9">
        <v>6.93E-2</v>
      </c>
      <c r="N113" s="9">
        <v>77.3</v>
      </c>
      <c r="O113" s="9"/>
      <c r="P113" s="11">
        <v>75.32101300479124</v>
      </c>
      <c r="Q113" s="21">
        <v>0</v>
      </c>
      <c r="R113" s="26" t="s">
        <v>116</v>
      </c>
      <c r="S113" s="26">
        <v>29.5</v>
      </c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</row>
    <row r="114" spans="1:113" ht="16" x14ac:dyDescent="0.2">
      <c r="A114" s="9" t="s">
        <v>188</v>
      </c>
      <c r="B114" s="9">
        <v>2</v>
      </c>
      <c r="C114" s="21" t="s">
        <v>147</v>
      </c>
      <c r="D114" s="13">
        <v>1</v>
      </c>
      <c r="E114" s="9">
        <v>12.476470000000001</v>
      </c>
      <c r="F114" s="9">
        <v>1.2781100000000001</v>
      </c>
      <c r="G114" s="9">
        <v>45.2</v>
      </c>
      <c r="H114" s="9">
        <v>57.7</v>
      </c>
      <c r="I114" s="9">
        <v>3.00508</v>
      </c>
      <c r="J114" s="9"/>
      <c r="K114" s="9">
        <v>0.13725000000000001</v>
      </c>
      <c r="L114" s="9">
        <v>1.3214300000000001</v>
      </c>
      <c r="M114" s="9"/>
      <c r="N114" s="9">
        <v>80.900000000000006</v>
      </c>
      <c r="O114" s="9"/>
      <c r="P114" s="11">
        <v>67.827515400410675</v>
      </c>
      <c r="Q114" s="21">
        <v>0</v>
      </c>
      <c r="R114" s="26" t="s">
        <v>93</v>
      </c>
      <c r="S114" s="26">
        <v>23.5</v>
      </c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</row>
    <row r="115" spans="1:113" ht="16" x14ac:dyDescent="0.2">
      <c r="A115" s="9" t="s">
        <v>189</v>
      </c>
      <c r="B115" s="9">
        <v>2</v>
      </c>
      <c r="C115" s="21" t="s">
        <v>147</v>
      </c>
      <c r="D115" s="13">
        <v>1</v>
      </c>
      <c r="E115" s="9">
        <v>11.247059999999999</v>
      </c>
      <c r="F115" s="9">
        <v>0.52071000000000001</v>
      </c>
      <c r="G115" s="9">
        <v>54.9</v>
      </c>
      <c r="H115" s="9">
        <v>66.099999999999994</v>
      </c>
      <c r="I115" s="9">
        <v>3.4923899999999999</v>
      </c>
      <c r="J115" s="9">
        <v>0.71203000000000005</v>
      </c>
      <c r="K115" s="9">
        <v>6.5360000000000001E-2</v>
      </c>
      <c r="L115" s="9">
        <v>1.4881</v>
      </c>
      <c r="M115" s="9">
        <v>5.5149999999999998E-2</v>
      </c>
      <c r="N115" s="9">
        <v>183.6</v>
      </c>
      <c r="O115" s="9"/>
      <c r="P115" s="11">
        <v>42.332648870636554</v>
      </c>
      <c r="Q115" s="21">
        <v>1</v>
      </c>
      <c r="R115" s="26" t="s">
        <v>93</v>
      </c>
      <c r="S115" s="26">
        <v>24</v>
      </c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</row>
    <row r="116" spans="1:113" ht="16" x14ac:dyDescent="0.2">
      <c r="A116" s="9" t="s">
        <v>190</v>
      </c>
      <c r="B116" s="9">
        <v>2</v>
      </c>
      <c r="C116" s="21" t="s">
        <v>147</v>
      </c>
      <c r="D116" s="13">
        <v>1</v>
      </c>
      <c r="E116" s="9">
        <v>6.7</v>
      </c>
      <c r="F116" s="9">
        <v>0.73963999999999996</v>
      </c>
      <c r="G116" s="9">
        <v>27.5</v>
      </c>
      <c r="H116" s="9">
        <v>34.200000000000003</v>
      </c>
      <c r="I116" s="9">
        <v>2.8020299999999998</v>
      </c>
      <c r="J116" s="9">
        <v>1.21835</v>
      </c>
      <c r="K116" s="9">
        <v>7.1900000000000006E-2</v>
      </c>
      <c r="L116" s="9">
        <v>1.01786</v>
      </c>
      <c r="M116" s="9">
        <v>4.7789999999999999E-2</v>
      </c>
      <c r="N116" s="9">
        <v>176.9</v>
      </c>
      <c r="O116" s="9"/>
      <c r="P116" s="11">
        <v>77.144421629021224</v>
      </c>
      <c r="Q116" s="21">
        <v>1</v>
      </c>
      <c r="R116" s="26" t="s">
        <v>93</v>
      </c>
      <c r="S116" s="26">
        <v>20.9</v>
      </c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</row>
    <row r="117" spans="1:113" ht="16" x14ac:dyDescent="0.2">
      <c r="A117" s="9" t="s">
        <v>193</v>
      </c>
      <c r="B117" s="9">
        <v>2</v>
      </c>
      <c r="C117" s="21" t="s">
        <v>147</v>
      </c>
      <c r="D117" s="13">
        <v>1</v>
      </c>
      <c r="E117" s="9">
        <v>11.92353</v>
      </c>
      <c r="F117" s="9">
        <v>1.0650900000000001</v>
      </c>
      <c r="G117" s="9">
        <v>40.700000000000003</v>
      </c>
      <c r="H117" s="9">
        <v>52.6</v>
      </c>
      <c r="I117" s="9">
        <v>2.8375599999999999</v>
      </c>
      <c r="J117" s="9">
        <v>0.73101000000000005</v>
      </c>
      <c r="K117" s="9">
        <v>0.12418</v>
      </c>
      <c r="L117" s="9">
        <v>1.97024</v>
      </c>
      <c r="M117" s="9">
        <v>4.4119999999999999E-2</v>
      </c>
      <c r="N117" s="9">
        <v>226.8</v>
      </c>
      <c r="O117" s="9"/>
      <c r="P117" s="11">
        <v>75.15947980835044</v>
      </c>
      <c r="Q117" s="21">
        <v>1</v>
      </c>
      <c r="R117" s="26" t="s">
        <v>93</v>
      </c>
      <c r="S117" s="26">
        <v>22.9</v>
      </c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</row>
    <row r="118" spans="1:113" ht="16" x14ac:dyDescent="0.2">
      <c r="A118" s="9" t="s">
        <v>191</v>
      </c>
      <c r="B118" s="9">
        <v>2</v>
      </c>
      <c r="C118" s="20" t="s">
        <v>156</v>
      </c>
      <c r="D118" s="13">
        <v>1</v>
      </c>
      <c r="E118" s="9">
        <v>10.101710000000001</v>
      </c>
      <c r="F118" s="9">
        <v>1.8335999999999999</v>
      </c>
      <c r="G118" s="9">
        <v>38.5</v>
      </c>
      <c r="H118" s="9">
        <v>48.6</v>
      </c>
      <c r="I118" s="9">
        <v>3.95648</v>
      </c>
      <c r="J118" s="9">
        <v>0.8609</v>
      </c>
      <c r="K118" s="9">
        <v>0.13808000000000001</v>
      </c>
      <c r="L118" s="9">
        <v>0.53112999999999999</v>
      </c>
      <c r="M118" s="9">
        <v>4.079E-2</v>
      </c>
      <c r="N118" s="9">
        <v>69.599999999999994</v>
      </c>
      <c r="O118" s="9"/>
      <c r="P118" s="11">
        <v>72.643394934976044</v>
      </c>
      <c r="Q118" s="20">
        <v>0</v>
      </c>
      <c r="R118" s="26" t="s">
        <v>93</v>
      </c>
      <c r="S118" s="26">
        <v>34.700000000000003</v>
      </c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</row>
    <row r="119" spans="1:113" ht="16" x14ac:dyDescent="0.2">
      <c r="A119" s="9" t="s">
        <v>198</v>
      </c>
      <c r="B119" s="9">
        <v>2</v>
      </c>
      <c r="C119" s="20" t="s">
        <v>199</v>
      </c>
      <c r="D119" s="13">
        <v>1</v>
      </c>
      <c r="E119" s="9">
        <v>4.5647099999999998</v>
      </c>
      <c r="F119" s="9">
        <v>0.23077</v>
      </c>
      <c r="G119" s="9">
        <v>18</v>
      </c>
      <c r="H119" s="9">
        <v>22.5</v>
      </c>
      <c r="I119" s="9">
        <v>1.92893</v>
      </c>
      <c r="J119" s="9">
        <v>0.89241000000000004</v>
      </c>
      <c r="K119" s="9">
        <v>3.9219999999999998E-2</v>
      </c>
      <c r="L119" s="9">
        <v>1.0833299999999999</v>
      </c>
      <c r="M119" s="9">
        <v>6.25E-2</v>
      </c>
      <c r="N119" s="9">
        <v>184.6</v>
      </c>
      <c r="O119" s="9"/>
      <c r="P119" s="11">
        <v>66.406570841889121</v>
      </c>
      <c r="Q119" s="20">
        <v>1</v>
      </c>
      <c r="R119" s="26" t="s">
        <v>93</v>
      </c>
      <c r="S119" s="26">
        <v>28</v>
      </c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</row>
    <row r="120" spans="1:113" ht="16" x14ac:dyDescent="0.2">
      <c r="A120" s="9" t="s">
        <v>194</v>
      </c>
      <c r="B120" s="9">
        <v>2</v>
      </c>
      <c r="C120" s="20" t="s">
        <v>156</v>
      </c>
      <c r="D120" s="13">
        <v>1</v>
      </c>
      <c r="E120" s="9">
        <v>7.3502400000000003</v>
      </c>
      <c r="F120" s="9">
        <v>0.98172000000000004</v>
      </c>
      <c r="G120" s="9">
        <v>33.4</v>
      </c>
      <c r="H120" s="9">
        <v>40.799999999999997</v>
      </c>
      <c r="I120" s="9">
        <v>3.1227999999999998</v>
      </c>
      <c r="J120" s="9">
        <v>1.1965699999999999</v>
      </c>
      <c r="K120" s="9">
        <v>0.11144</v>
      </c>
      <c r="L120" s="9">
        <v>0.60838999999999999</v>
      </c>
      <c r="M120" s="9">
        <v>3.789E-2</v>
      </c>
      <c r="N120" s="9">
        <v>43.1</v>
      </c>
      <c r="O120" s="9"/>
      <c r="P120" s="11">
        <v>54.283367556468171</v>
      </c>
      <c r="Q120" s="20">
        <v>0</v>
      </c>
      <c r="R120" s="26" t="s">
        <v>93</v>
      </c>
      <c r="S120" s="26">
        <v>27.3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</row>
    <row r="121" spans="1:113" ht="16" x14ac:dyDescent="0.2">
      <c r="A121" s="9" t="s">
        <v>195</v>
      </c>
      <c r="B121" s="9">
        <v>2</v>
      </c>
      <c r="C121" s="21" t="s">
        <v>147</v>
      </c>
      <c r="D121" s="13">
        <v>1</v>
      </c>
      <c r="E121" s="9">
        <v>9.8239099999999997</v>
      </c>
      <c r="F121" s="9">
        <v>1.0417099999999999</v>
      </c>
      <c r="G121" s="9">
        <v>37.1</v>
      </c>
      <c r="H121" s="9">
        <v>46.9</v>
      </c>
      <c r="I121" s="9">
        <v>3.8061199999999999</v>
      </c>
      <c r="J121" s="9">
        <v>2.4769100000000002</v>
      </c>
      <c r="K121" s="9">
        <v>9.4530000000000003E-2</v>
      </c>
      <c r="L121" s="9">
        <v>0.39584999999999998</v>
      </c>
      <c r="M121" s="9">
        <v>0.22572999999999999</v>
      </c>
      <c r="N121" s="9">
        <v>44.5</v>
      </c>
      <c r="O121" s="9"/>
      <c r="P121" s="11">
        <v>70.792607802874741</v>
      </c>
      <c r="Q121" s="21">
        <v>0</v>
      </c>
      <c r="R121" s="26" t="s">
        <v>93</v>
      </c>
      <c r="S121" s="26">
        <v>24.7</v>
      </c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</row>
    <row r="122" spans="1:113" ht="16" x14ac:dyDescent="0.2">
      <c r="A122" s="9" t="s">
        <v>196</v>
      </c>
      <c r="B122" s="9">
        <v>2</v>
      </c>
      <c r="C122" s="20" t="s">
        <v>199</v>
      </c>
      <c r="D122" s="13">
        <v>1</v>
      </c>
      <c r="E122" s="9">
        <v>12.34118</v>
      </c>
      <c r="F122" s="9">
        <v>0.95857999999999999</v>
      </c>
      <c r="G122" s="9">
        <v>46.6</v>
      </c>
      <c r="H122" s="9">
        <v>58.9</v>
      </c>
      <c r="I122" s="9">
        <v>4.04061</v>
      </c>
      <c r="J122" s="9">
        <v>0.94735000000000003</v>
      </c>
      <c r="K122" s="9">
        <v>5.2470000000000003E-2</v>
      </c>
      <c r="L122" s="9">
        <v>1.41221</v>
      </c>
      <c r="M122" s="9">
        <v>6.5540000000000001E-2</v>
      </c>
      <c r="N122" s="9">
        <v>194.7</v>
      </c>
      <c r="O122" s="9"/>
      <c r="P122" s="11">
        <v>62.362765229295</v>
      </c>
      <c r="Q122" s="20">
        <v>0</v>
      </c>
      <c r="R122" s="26" t="s">
        <v>93</v>
      </c>
      <c r="S122" s="26">
        <v>22</v>
      </c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</row>
    <row r="123" spans="1:113" ht="16" x14ac:dyDescent="0.2">
      <c r="A123" s="9" t="s">
        <v>197</v>
      </c>
      <c r="B123" s="9">
        <v>2</v>
      </c>
      <c r="C123" s="20" t="s">
        <v>199</v>
      </c>
      <c r="D123" s="13">
        <v>1</v>
      </c>
      <c r="E123" s="9">
        <v>4.3573899999999997</v>
      </c>
      <c r="F123" s="9">
        <v>0.28162999999999999</v>
      </c>
      <c r="G123" s="9">
        <v>24.4</v>
      </c>
      <c r="H123" s="9">
        <v>28.8</v>
      </c>
      <c r="I123" s="9">
        <v>1.9895499999999999</v>
      </c>
      <c r="J123" s="9">
        <v>1.5799799999999999</v>
      </c>
      <c r="K123" s="9">
        <v>1.933E-2</v>
      </c>
      <c r="L123" s="9">
        <v>0.40848000000000001</v>
      </c>
      <c r="M123" s="9">
        <v>0.16744999999999999</v>
      </c>
      <c r="N123" s="9">
        <v>14.5</v>
      </c>
      <c r="O123" s="9"/>
      <c r="P123" s="11">
        <v>76.555783709787818</v>
      </c>
      <c r="Q123" s="20">
        <v>0</v>
      </c>
      <c r="R123" s="26" t="s">
        <v>93</v>
      </c>
      <c r="S123" s="26">
        <v>29.1</v>
      </c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</row>
    <row r="124" spans="1:113" ht="16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</row>
    <row r="125" spans="1:113" ht="16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</row>
    <row r="126" spans="1:113" ht="16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</row>
    <row r="127" spans="1:113" ht="16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</row>
    <row r="128" spans="1:113" ht="16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</row>
    <row r="129" spans="1:113" ht="16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</row>
    <row r="130" spans="1:113" ht="16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</row>
    <row r="131" spans="1:113" ht="16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</row>
    <row r="132" spans="1:113" ht="16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</row>
    <row r="133" spans="1:113" ht="16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</row>
    <row r="134" spans="1:113" ht="16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</row>
    <row r="135" spans="1:113" ht="16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</row>
    <row r="136" spans="1:113" ht="16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</row>
    <row r="137" spans="1:113" ht="16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</row>
    <row r="138" spans="1:113" ht="16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</row>
    <row r="139" spans="1:113" ht="16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</row>
    <row r="140" spans="1:113" ht="16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</row>
    <row r="141" spans="1:113" ht="16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</row>
    <row r="142" spans="1:113" ht="16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</row>
    <row r="143" spans="1:113" ht="16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</row>
    <row r="144" spans="1:113" ht="16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</row>
    <row r="145" spans="1:113" ht="16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</row>
    <row r="146" spans="1:113" ht="16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</row>
    <row r="147" spans="1:113" ht="16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</row>
    <row r="148" spans="1:113" ht="16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</row>
    <row r="149" spans="1:113" ht="16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</row>
    <row r="150" spans="1:113" ht="16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</row>
    <row r="151" spans="1:113" ht="16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</row>
    <row r="152" spans="1:113" ht="16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</row>
    <row r="153" spans="1:113" ht="16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</row>
    <row r="154" spans="1:113" ht="16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</row>
    <row r="155" spans="1:113" ht="16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</row>
    <row r="156" spans="1:113" ht="16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</row>
    <row r="157" spans="1:113" ht="16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</row>
    <row r="158" spans="1:113" ht="16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</row>
    <row r="159" spans="1:113" ht="16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</row>
    <row r="160" spans="1:113" ht="16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</row>
    <row r="161" spans="1:113" ht="16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</row>
    <row r="162" spans="1:113" ht="16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</row>
    <row r="163" spans="1:113" ht="16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</row>
    <row r="164" spans="1:113" ht="16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</row>
    <row r="165" spans="1:113" ht="16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</row>
    <row r="166" spans="1:113" ht="16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</row>
    <row r="167" spans="1:113" ht="16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</row>
    <row r="168" spans="1:113" ht="16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</row>
    <row r="169" spans="1:113" ht="16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</row>
    <row r="170" spans="1:113" ht="16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</row>
    <row r="171" spans="1:113" ht="16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</row>
    <row r="172" spans="1:113" ht="16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</row>
    <row r="173" spans="1:113" ht="16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</row>
    <row r="174" spans="1:113" ht="16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</row>
    <row r="175" spans="1:113" ht="16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</row>
    <row r="176" spans="1:113" ht="16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</row>
    <row r="177" spans="1:113" ht="16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</row>
    <row r="178" spans="1:113" ht="16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</row>
    <row r="179" spans="1:113" ht="16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</row>
    <row r="180" spans="1:113" ht="16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</row>
    <row r="181" spans="1:113" ht="16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</row>
    <row r="182" spans="1:113" ht="16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</row>
    <row r="183" spans="1:113" ht="16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</row>
    <row r="184" spans="1:113" ht="16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</row>
    <row r="185" spans="1:113" ht="16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</row>
    <row r="186" spans="1:113" ht="16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</row>
    <row r="187" spans="1:113" ht="16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</row>
    <row r="188" spans="1:113" ht="16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</row>
    <row r="189" spans="1:113" ht="16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</row>
    <row r="190" spans="1:113" ht="16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</row>
    <row r="191" spans="1:113" ht="16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</row>
    <row r="192" spans="1:113" ht="16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</row>
    <row r="193" spans="1:113" ht="16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</row>
    <row r="194" spans="1:113" ht="16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</row>
    <row r="195" spans="1:113" ht="16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</row>
    <row r="196" spans="1:113" ht="16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</row>
    <row r="197" spans="1:113" ht="16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</row>
    <row r="198" spans="1:113" ht="16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</row>
    <row r="199" spans="1:113" ht="16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</row>
    <row r="200" spans="1:113" ht="16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</row>
    <row r="201" spans="1:113" ht="16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</row>
    <row r="202" spans="1:113" ht="16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</row>
    <row r="203" spans="1:113" ht="16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</row>
    <row r="204" spans="1:113" ht="16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</row>
    <row r="205" spans="1:113" ht="16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</row>
    <row r="206" spans="1:113" ht="16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</row>
    <row r="207" spans="1:113" ht="16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</row>
    <row r="208" spans="1:113" ht="16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</row>
    <row r="209" spans="1:113" ht="16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</row>
    <row r="210" spans="1:113" ht="16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</row>
    <row r="211" spans="1:113" ht="16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</row>
    <row r="212" spans="1:113" ht="16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</row>
    <row r="213" spans="1:113" ht="16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</row>
    <row r="214" spans="1:113" ht="16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</row>
    <row r="215" spans="1:113" ht="16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</row>
    <row r="216" spans="1:113" ht="16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</row>
    <row r="217" spans="1:113" ht="16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</row>
    <row r="218" spans="1:113" ht="16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</row>
    <row r="219" spans="1:113" ht="16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</row>
    <row r="220" spans="1:113" ht="16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</row>
    <row r="221" spans="1:113" ht="16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</row>
    <row r="222" spans="1:113" ht="16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</row>
    <row r="223" spans="1:113" ht="16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</row>
    <row r="224" spans="1:113" ht="16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</row>
    <row r="225" spans="1:113" ht="16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</row>
    <row r="226" spans="1:113" ht="16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</row>
    <row r="227" spans="1:113" ht="16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</row>
  </sheetData>
  <sortState xmlns:xlrd2="http://schemas.microsoft.com/office/spreadsheetml/2017/richdata2" ref="A92:CN146">
    <sortCondition ref="A1:A146"/>
  </sortState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Aregawi, Lillian (NIH/NINDS) [F]</dc:creator>
  <cp:lastModifiedBy>Aregawi, Lillian (NIH/NINDS) [F]</cp:lastModifiedBy>
  <dcterms:created xsi:type="dcterms:W3CDTF">2025-03-19T18:30:51Z</dcterms:created>
  <dcterms:modified xsi:type="dcterms:W3CDTF">2025-07-15T13:36:00Z</dcterms:modified>
</cp:coreProperties>
</file>